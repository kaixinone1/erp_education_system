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98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;@"/>
    <numFmt numFmtId="165" formatCode="yyyy&quot;年&quot;m&quot;月&quot;d&quot;日&quot;;@"/>
  </numFmts>
  <fonts count="29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6"/>
    </font>
    <font>
      <name val="宋体"/>
      <charset val="134"/>
      <sz val="18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color theme="1"/>
      <sz val="10"/>
    </font>
    <font>
      <name val="宋体"/>
      <charset val="134"/>
      <sz val="11"/>
    </font>
    <font>
      <name val="宋体"/>
      <charset val="134"/>
      <color theme="1"/>
      <sz val="11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2" borderId="38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9" applyAlignment="1">
      <alignment vertical="center"/>
    </xf>
    <xf numFmtId="0" fontId="16" fillId="0" borderId="39" applyAlignment="1">
      <alignment vertical="center"/>
    </xf>
    <xf numFmtId="0" fontId="17" fillId="0" borderId="40" applyAlignment="1">
      <alignment vertical="center"/>
    </xf>
    <xf numFmtId="0" fontId="17" fillId="0" borderId="0" applyAlignment="1">
      <alignment vertical="center"/>
    </xf>
    <xf numFmtId="0" fontId="18" fillId="3" borderId="41" applyAlignment="1">
      <alignment vertical="center"/>
    </xf>
    <xf numFmtId="0" fontId="19" fillId="4" borderId="42" applyAlignment="1">
      <alignment vertical="center"/>
    </xf>
    <xf numFmtId="0" fontId="20" fillId="4" borderId="41" applyAlignment="1">
      <alignment vertical="center"/>
    </xf>
    <xf numFmtId="0" fontId="21" fillId="5" borderId="43" applyAlignment="1">
      <alignment vertical="center"/>
    </xf>
    <xf numFmtId="0" fontId="22" fillId="0" borderId="44" applyAlignment="1">
      <alignment vertical="center"/>
    </xf>
    <xf numFmtId="0" fontId="23" fillId="0" borderId="45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1" fillId="0" borderId="0" applyAlignment="1">
      <alignment vertical="center"/>
    </xf>
  </cellStyleXfs>
  <cellXfs count="1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5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6" fillId="0" borderId="18" applyAlignment="1" pivotButton="0" quotePrefix="0" xfId="49">
      <alignment horizontal="center" vertical="center" wrapText="1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 wrapText="1"/>
    </xf>
    <xf numFmtId="31" fontId="4" fillId="0" borderId="21" applyAlignment="1" pivotButton="0" quotePrefix="0" xfId="0">
      <alignment horizontal="right" vertical="center"/>
    </xf>
    <xf numFmtId="0" fontId="4" fillId="0" borderId="22" applyAlignment="1" pivotButton="0" quotePrefix="0" xfId="0">
      <alignment horizontal="right" vertical="center"/>
    </xf>
    <xf numFmtId="0" fontId="4" fillId="0" borderId="23" applyAlignment="1" pivotButton="0" quotePrefix="0" xfId="0">
      <alignment horizontal="right" vertical="center"/>
    </xf>
    <xf numFmtId="0" fontId="5" fillId="0" borderId="1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7" fillId="0" borderId="17" applyAlignment="1" pivotButton="0" quotePrefix="0" xfId="0">
      <alignment vertical="center"/>
    </xf>
    <xf numFmtId="0" fontId="7" fillId="0" borderId="18" applyAlignment="1" pivotButton="0" quotePrefix="0" xfId="0">
      <alignment horizontal="center" vertical="center"/>
    </xf>
    <xf numFmtId="0" fontId="8" fillId="0" borderId="18" applyAlignment="1" pivotButton="0" quotePrefix="0" xfId="49">
      <alignment horizontal="center" vertical="center" wrapText="1"/>
    </xf>
    <xf numFmtId="0" fontId="7" fillId="0" borderId="19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8" fillId="0" borderId="17" applyAlignment="1" pivotButton="0" quotePrefix="0" xfId="0">
      <alignment vertical="center"/>
    </xf>
    <xf numFmtId="0" fontId="7" fillId="0" borderId="20" applyAlignment="1" pivotButton="0" quotePrefix="0" xfId="0">
      <alignment vertical="center"/>
    </xf>
    <xf numFmtId="0" fontId="7" fillId="0" borderId="9" applyAlignment="1" pivotButton="0" quotePrefix="0" xfId="0">
      <alignment horizontal="center" vertical="center"/>
    </xf>
    <xf numFmtId="0" fontId="8" fillId="0" borderId="9" applyAlignment="1" pivotButton="0" quotePrefix="0" xfId="49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9" fillId="0" borderId="14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31" fontId="1" fillId="0" borderId="21" applyAlignment="1" pivotButton="0" quotePrefix="0" xfId="0">
      <alignment horizontal="right" vertical="center"/>
    </xf>
    <xf numFmtId="0" fontId="1" fillId="0" borderId="22" applyAlignment="1" pivotButton="0" quotePrefix="0" xfId="0">
      <alignment horizontal="right" vertical="center"/>
    </xf>
    <xf numFmtId="0" fontId="1" fillId="0" borderId="23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13" applyAlignment="1" pivotButton="0" quotePrefix="0" xfId="0">
      <alignment vertical="center"/>
    </xf>
    <xf numFmtId="0" fontId="7" fillId="0" borderId="12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vertical="center" wrapText="1"/>
    </xf>
    <xf numFmtId="0" fontId="9" fillId="0" borderId="8" applyAlignment="1" pivotButton="0" quotePrefix="0" xfId="0">
      <alignment horizontal="left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9" fillId="0" borderId="26" applyAlignment="1" pivotButton="0" quotePrefix="0" xfId="0">
      <alignment horizontal="left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 vertical="center" wrapText="1"/>
    </xf>
    <xf numFmtId="0" fontId="7" fillId="0" borderId="15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vertical="center"/>
    </xf>
    <xf numFmtId="0" fontId="7" fillId="0" borderId="18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9" fillId="0" borderId="20" applyAlignment="1" pivotButton="0" quotePrefix="0" xfId="0">
      <alignment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9" fillId="0" borderId="30" applyAlignment="1" pivotButton="0" quotePrefix="0" xfId="0">
      <alignment vertical="center" wrapText="1"/>
    </xf>
    <xf numFmtId="0" fontId="7" fillId="0" borderId="31" applyAlignment="1" pivotButton="0" quotePrefix="0" xfId="0">
      <alignment horizontal="center" vertical="center" wrapText="1"/>
    </xf>
    <xf numFmtId="0" fontId="7" fillId="0" borderId="31" applyAlignment="1" pivotButton="0" quotePrefix="0" xfId="0">
      <alignment horizontal="center" vertical="center"/>
    </xf>
    <xf numFmtId="0" fontId="9" fillId="0" borderId="32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horizontal="center" vertical="center" wrapText="1"/>
    </xf>
    <xf numFmtId="0" fontId="9" fillId="0" borderId="33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shrinkToFit="1"/>
    </xf>
    <xf numFmtId="0" fontId="7" fillId="0" borderId="13" applyAlignment="1" pivotButton="0" quotePrefix="0" xfId="0">
      <alignment horizontal="left" vertical="center" shrinkToFit="1"/>
    </xf>
    <xf numFmtId="0" fontId="9" fillId="0" borderId="20" applyAlignment="1" pivotButton="0" quotePrefix="0" xfId="0">
      <alignment horizontal="left" vertical="center" wrapText="1"/>
    </xf>
    <xf numFmtId="0" fontId="9" fillId="0" borderId="34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 wrapText="1"/>
    </xf>
    <xf numFmtId="31" fontId="7" fillId="0" borderId="21" applyAlignment="1" pivotButton="0" quotePrefix="0" xfId="0">
      <alignment horizontal="right" vertical="center" wrapText="1"/>
    </xf>
    <xf numFmtId="0" fontId="7" fillId="0" borderId="22" applyAlignment="1" pivotButton="0" quotePrefix="0" xfId="0">
      <alignment horizontal="right" vertical="center" wrapText="1"/>
    </xf>
    <xf numFmtId="0" fontId="7" fillId="0" borderId="23" applyAlignment="1" pivotButton="0" quotePrefix="0" xfId="0">
      <alignment horizontal="right" vertical="center" wrapText="1"/>
    </xf>
    <xf numFmtId="0" fontId="1" fillId="0" borderId="35" applyAlignment="1" pivotButton="0" quotePrefix="0" xfId="0">
      <alignment horizontal="left" vertical="top" wrapText="1"/>
    </xf>
    <xf numFmtId="0" fontId="1" fillId="0" borderId="36" applyAlignment="1" pivotButton="0" quotePrefix="0" xfId="0">
      <alignment horizontal="center" vertical="top" wrapText="1"/>
    </xf>
    <xf numFmtId="0" fontId="1" fillId="0" borderId="36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1" fillId="0" borderId="3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3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4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46" applyAlignment="1" pivotButton="0" quotePrefix="0" xfId="0">
      <alignment horizontal="center" vertical="center"/>
    </xf>
    <xf numFmtId="31" fontId="4" fillId="0" borderId="25" applyAlignment="1" pivotButton="0" quotePrefix="0" xfId="0">
      <alignment horizontal="right" vertical="center"/>
    </xf>
    <xf numFmtId="0" fontId="0" fillId="0" borderId="22" pivotButton="0" quotePrefix="0" xfId="0"/>
    <xf numFmtId="0" fontId="0" fillId="0" borderId="23" pivotButton="0" quotePrefix="0" xfId="0"/>
    <xf numFmtId="31" fontId="1" fillId="0" borderId="25" applyAlignment="1" pivotButton="0" quotePrefix="0" xfId="0">
      <alignment horizontal="right" vertical="center"/>
    </xf>
    <xf numFmtId="0" fontId="7" fillId="0" borderId="35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31" fontId="7" fillId="0" borderId="25" applyAlignment="1" pivotButton="0" quotePrefix="0" xfId="0">
      <alignment horizontal="right" vertical="center" wrapText="1"/>
    </xf>
    <xf numFmtId="0" fontId="0" fillId="0" borderId="48" pivotButton="0" quotePrefix="0" xfId="0"/>
    <xf numFmtId="0" fontId="0" fillId="0" borderId="49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2"/>
  <sheetViews>
    <sheetView tabSelected="1" workbookViewId="0">
      <selection activeCell="D26" sqref="D26"/>
    </sheetView>
  </sheetViews>
  <sheetFormatPr baseColWidth="8" defaultColWidth="8.81818181818182" defaultRowHeight="15"/>
  <cols>
    <col width="13.8181818181818" customWidth="1" style="13" min="1" max="1"/>
    <col width="7.63636363636364" customWidth="1" style="38" min="2" max="2"/>
    <col width="13.0363636363636" customWidth="1" style="38" min="3" max="3"/>
    <col width="9.36363636363636" customWidth="1" style="38" min="4" max="4"/>
    <col width="6.09090909090909" customWidth="1" style="38" min="5" max="5"/>
    <col width="8.81818181818182" customWidth="1" style="13" min="6" max="6"/>
    <col width="17.6363636363636" customWidth="1" style="13" min="7" max="7"/>
    <col width="5" customWidth="1" style="13" min="8" max="8"/>
    <col width="3.90909090909091" customWidth="1" style="13" min="9" max="9"/>
    <col width="11" customWidth="1" style="13" min="10" max="10"/>
    <col width="8.63636363636364" customWidth="1" style="13" min="11" max="11"/>
    <col width="8.81818181818182" customWidth="1" style="13" min="12" max="13"/>
    <col width="10.1818181818182" customWidth="1" style="13" min="14" max="14"/>
    <col width="15.3636363636364" customWidth="1" style="13" min="15" max="15"/>
    <col width="11.4545454545455" customWidth="1" style="13" min="16" max="16"/>
    <col width="8.81818181818182" customWidth="1" style="13" min="17" max="16381"/>
    <col width="8.81818181818182" customWidth="1" style="3" min="16382" max="16384"/>
  </cols>
  <sheetData>
    <row r="1" ht="27" customFormat="1" customHeight="1" s="13">
      <c r="A1" s="4" t="inlineStr">
        <is>
          <t>项目</t>
        </is>
      </c>
      <c r="B1" s="119" t="inlineStr">
        <is>
          <t>人数</t>
        </is>
      </c>
      <c r="D1" s="6" t="inlineStr">
        <is>
          <t>小计</t>
        </is>
      </c>
      <c r="E1" s="38" t="inlineStr">
        <is>
          <t>呈报单位意见</t>
        </is>
      </c>
      <c r="F1" t="inlineStr">
        <is>
          <t>据实填写，同意呈报。
              （盖章）</t>
        </is>
      </c>
      <c r="G1" s="7" t="n"/>
      <c r="H1" s="8" t="n"/>
      <c r="I1" s="8" t="n"/>
      <c r="J1" s="8" t="n"/>
      <c r="K1" s="9" t="n"/>
    </row>
    <row r="2" ht="25" customFormat="1" customHeight="1" s="13">
      <c r="A2" s="13" t="inlineStr">
        <is>
          <t>行政管理人员</t>
        </is>
      </c>
      <c r="B2" s="38" t="inlineStr">
        <is>
          <t>太平镇中心学校</t>
        </is>
      </c>
      <c r="E2" s="11" t="inlineStr">
        <is>
          <t>填报时间:</t>
        </is>
      </c>
      <c r="G2" s="120" t="inlineStr">
        <is>
          <t>2026年5月1日</t>
        </is>
      </c>
      <c r="H2" s="11" t="inlineStr">
        <is>
          <t>单位：</t>
        </is>
      </c>
      <c r="J2" s="13" t="inlineStr">
        <is>
          <t>人、元</t>
        </is>
      </c>
      <c r="K2" s="13" t="n"/>
    </row>
    <row r="3" ht="25" customFormat="1" customHeight="1" s="13">
      <c r="A3" s="121" t="inlineStr">
        <is>
          <t>1、副处级</t>
        </is>
      </c>
      <c r="B3" s="30" t="n"/>
      <c r="C3" s="122" t="n"/>
      <c r="D3" s="123" t="n"/>
      <c r="E3" s="124" t="inlineStr">
        <is>
          <t>呈报单位意见</t>
        </is>
      </c>
      <c r="F3" s="49" t="n"/>
      <c r="G3" s="50" t="n"/>
      <c r="H3" s="50" t="n"/>
      <c r="I3" s="50" t="n"/>
      <c r="J3" s="50" t="n"/>
      <c r="K3" s="51" t="n"/>
    </row>
    <row r="4" ht="25" customFormat="1" customHeight="1" s="13">
      <c r="A4" s="125" t="n"/>
      <c r="B4" s="23" t="n"/>
      <c r="C4" s="23" t="n"/>
      <c r="D4" s="24" t="n"/>
      <c r="E4" s="126" t="n"/>
      <c r="F4" s="41" t="n"/>
      <c r="K4" s="42" t="n"/>
    </row>
    <row r="5" ht="25" customFormat="1" customHeight="1" s="13">
      <c r="A5" s="28" t="inlineStr">
        <is>
          <t>3、副科级</t>
        </is>
      </c>
      <c r="B5" s="29" t="n"/>
      <c r="C5" s="29" t="n"/>
      <c r="D5" s="30" t="n"/>
      <c r="E5" s="126" t="n"/>
      <c r="F5" s="41" t="n"/>
      <c r="K5" s="42" t="n"/>
    </row>
    <row r="6" ht="25" customFormat="1" customHeight="1" s="13">
      <c r="A6" s="31" t="inlineStr">
        <is>
          <t>4、科员级</t>
        </is>
      </c>
      <c r="B6" s="32" t="inlineStr">
        <is>
          <t>5</t>
        </is>
      </c>
      <c r="C6" s="32" t="inlineStr">
        <is>
          <t>1185</t>
        </is>
      </c>
      <c r="D6" s="33" t="inlineStr">
        <is>
          <t>5925</t>
        </is>
      </c>
      <c r="E6" s="126" t="n"/>
      <c r="F6" s="127" t="inlineStr">
        <is>
          <t>据实填写，同意呈报。</t>
        </is>
      </c>
      <c r="K6" s="128" t="n"/>
    </row>
    <row r="7" ht="25" customFormat="1" customHeight="1" s="13">
      <c r="A7" s="31" t="inlineStr">
        <is>
          <t>5、办事员级</t>
        </is>
      </c>
      <c r="B7" s="32" t="n"/>
      <c r="C7" s="32" t="n"/>
      <c r="D7" s="33" t="n"/>
      <c r="E7" s="126" t="n"/>
      <c r="F7" s="129" t="inlineStr">
        <is>
          <t>（盖章）</t>
        </is>
      </c>
      <c r="K7" s="128" t="n"/>
    </row>
    <row r="8" ht="25" customFormat="1" customHeight="1" s="13">
      <c r="A8" s="31" t="inlineStr">
        <is>
          <t>专业技术人员</t>
        </is>
      </c>
      <c r="B8" s="32" t="inlineStr">
        <is>
          <t>教育局意见</t>
        </is>
      </c>
      <c r="C8" s="32" t="inlineStr">
        <is>
          <t>（盖章）</t>
        </is>
      </c>
      <c r="D8" s="33" t="n"/>
      <c r="E8" s="126" t="n"/>
      <c r="F8" s="41" t="n"/>
      <c r="K8" s="42" t="n"/>
    </row>
    <row r="9" ht="25" customFormat="1" customHeight="1" s="13">
      <c r="A9" s="31" t="inlineStr">
        <is>
          <t>1、正高级</t>
        </is>
      </c>
      <c r="B9" s="32" t="n"/>
      <c r="C9" s="40" t="inlineStr">
        <is>
          <t>1862</t>
        </is>
      </c>
      <c r="D9" s="33" t="n"/>
      <c r="E9" s="126" t="n"/>
      <c r="F9" s="41" t="n"/>
      <c r="G9" s="13" t="n"/>
      <c r="H9" s="13" t="n"/>
      <c r="I9" s="13" t="n"/>
      <c r="J9" s="13" t="n"/>
      <c r="K9" s="42" t="n"/>
    </row>
    <row r="10" ht="25" customFormat="1" customHeight="1" s="13">
      <c r="A10" s="43" t="inlineStr">
        <is>
          <t>2、高级教师</t>
        </is>
      </c>
      <c r="B10" s="23" t="inlineStr">
        <is>
          <t>44</t>
        </is>
      </c>
      <c r="C10" s="23" t="inlineStr">
        <is>
          <t>1523</t>
        </is>
      </c>
      <c r="D10" s="24" t="inlineStr">
        <is>
          <t>67012</t>
        </is>
      </c>
      <c r="E10" s="125" t="n"/>
      <c r="F10" s="130" t="inlineStr">
        <is>
          <t>2026年5月2日</t>
        </is>
      </c>
      <c r="G10" s="131" t="n"/>
      <c r="H10" s="131" t="n"/>
      <c r="I10" s="131" t="n"/>
      <c r="J10" s="131" t="n"/>
      <c r="K10" s="132" t="n"/>
    </row>
    <row r="11" ht="25" customFormat="1" customHeight="1" s="13">
      <c r="A11" s="48" t="inlineStr">
        <is>
          <t>3、一级教师</t>
        </is>
      </c>
      <c r="B11" s="29" t="inlineStr">
        <is>
          <t>136</t>
        </is>
      </c>
      <c r="C11" s="29" t="inlineStr">
        <is>
          <t>1309</t>
        </is>
      </c>
      <c r="D11" s="30" t="inlineStr">
        <is>
          <t>178024</t>
        </is>
      </c>
      <c r="E11" s="124" t="inlineStr">
        <is>
          <t>教育局意见</t>
        </is>
      </c>
      <c r="F11" s="49" t="n"/>
      <c r="G11" s="50" t="n"/>
      <c r="H11" s="50" t="n"/>
      <c r="I11" s="50" t="n"/>
      <c r="J11" s="50" t="n"/>
      <c r="K11" s="51" t="n"/>
    </row>
    <row r="12" ht="25" customFormat="1" customHeight="1" s="13">
      <c r="A12" s="31" t="inlineStr">
        <is>
          <t>4、二级教师</t>
        </is>
      </c>
      <c r="B12" s="32" t="inlineStr">
        <is>
          <t>150</t>
        </is>
      </c>
      <c r="C12" s="40" t="inlineStr">
        <is>
          <t>1241</t>
        </is>
      </c>
      <c r="D12" s="33" t="inlineStr">
        <is>
          <t>186150</t>
        </is>
      </c>
      <c r="E12" s="126" t="n"/>
      <c r="F12" s="41" t="n"/>
      <c r="K12" s="42" t="n"/>
    </row>
    <row r="13" ht="25" customFormat="1" customHeight="1" s="13">
      <c r="A13" s="52" t="inlineStr">
        <is>
          <t>5、三级教师</t>
        </is>
      </c>
      <c r="B13" s="53" t="inlineStr">
        <is>
          <t>19</t>
        </is>
      </c>
      <c r="C13" s="54" t="inlineStr">
        <is>
          <t>1128</t>
        </is>
      </c>
      <c r="D13" s="55" t="inlineStr">
        <is>
          <t>21432</t>
        </is>
      </c>
      <c r="E13" s="126" t="n"/>
      <c r="F13" s="41" t="n"/>
      <c r="K13" s="42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</row>
    <row r="14" ht="25" customFormat="1" customHeight="1" s="13">
      <c r="A14" s="57" t="inlineStr">
        <is>
          <t>工人</t>
        </is>
      </c>
      <c r="B14" s="53" t="n">
        <v>136</v>
      </c>
      <c r="C14" s="54" t="n">
        <v>1309</v>
      </c>
      <c r="D14" s="55" t="n">
        <v>178024</v>
      </c>
      <c r="E14" s="126" t="n"/>
      <c r="F14" s="41" t="n"/>
      <c r="K14" s="42" t="n"/>
    </row>
    <row r="15" ht="25" customFormat="1" customHeight="1" s="13">
      <c r="A15" s="57" t="inlineStr">
        <is>
          <t>1、高级技师</t>
        </is>
      </c>
      <c r="B15" s="53" t="n"/>
      <c r="C15" s="54" t="n"/>
      <c r="D15" s="55" t="n"/>
      <c r="E15" s="126" t="n"/>
      <c r="F15" s="129" t="inlineStr">
        <is>
          <t>（盖章）</t>
        </is>
      </c>
      <c r="K15" s="128" t="n"/>
    </row>
    <row r="16" ht="25" customFormat="1" customHeight="1" s="13">
      <c r="A16" s="58" t="inlineStr">
        <is>
          <t>2、技师</t>
        </is>
      </c>
      <c r="B16" s="59" t="inlineStr">
        <is>
          <t>2</t>
        </is>
      </c>
      <c r="C16" s="60" t="inlineStr">
        <is>
          <t>1331</t>
        </is>
      </c>
      <c r="D16" s="99" t="inlineStr">
        <is>
          <t>2662</t>
        </is>
      </c>
      <c r="E16" s="126" t="n"/>
      <c r="F16" s="41" t="n"/>
      <c r="K16" s="42" t="n"/>
    </row>
    <row r="17" ht="25" customFormat="1" customHeight="1" s="13">
      <c r="A17" s="62" t="inlineStr">
        <is>
          <t>3、高级工</t>
        </is>
      </c>
      <c r="B17" s="63" t="n"/>
      <c r="C17" s="63" t="inlineStr">
        <is>
          <t>1219</t>
        </is>
      </c>
      <c r="D17" s="64" t="n"/>
      <c r="E17" s="126" t="n"/>
      <c r="F17" s="41" t="inlineStr">
        <is>
          <t>根据相关文件及有关规定，经审核，同意你单位：
                基础性绩效工资357人，462311元；
                生活补贴356人，124600元；
                合计586911元；
                岗位设置遗留2人，675.24元；
                总计587586.24元。
                无乡镇补贴1人，柯坤。
              2026年5月2日</t>
        </is>
      </c>
      <c r="K17" s="42" t="n"/>
    </row>
    <row r="18" ht="25" customFormat="1" customHeight="1" s="13">
      <c r="A18" s="52" t="inlineStr">
        <is>
          <t>4、中级工</t>
        </is>
      </c>
      <c r="B18" s="53" t="n"/>
      <c r="C18" s="53" t="inlineStr">
        <is>
          <t>1185</t>
        </is>
      </c>
      <c r="D18" s="55" t="n"/>
      <c r="E18" s="126" t="n"/>
      <c r="F18" s="41" t="n"/>
      <c r="K18" s="42" t="n"/>
    </row>
    <row r="19" ht="25" customFormat="1" customHeight="1" s="13">
      <c r="A19" s="52" t="inlineStr">
        <is>
          <t>5、初级工</t>
        </is>
      </c>
      <c r="B19" s="53" t="inlineStr">
        <is>
          <t>1</t>
        </is>
      </c>
      <c r="C19" s="54" t="inlineStr">
        <is>
          <t>1106</t>
        </is>
      </c>
      <c r="D19" s="55" t="inlineStr">
        <is>
          <t>1106</t>
        </is>
      </c>
      <c r="E19" s="125" t="n"/>
      <c r="F19" s="133" t="inlineStr">
        <is>
          <t>2026年5月2日</t>
        </is>
      </c>
      <c r="G19" s="131" t="n"/>
      <c r="H19" s="131" t="n"/>
      <c r="I19" s="131" t="n"/>
      <c r="J19" s="131" t="n"/>
      <c r="K19" s="132" t="n"/>
    </row>
    <row r="20" ht="25" customFormat="1" customHeight="1" s="13">
      <c r="A20" s="52" t="inlineStr">
        <is>
          <t>6、普工</t>
        </is>
      </c>
      <c r="B20" s="53" t="n"/>
      <c r="C20" s="54" t="n"/>
      <c r="D20" s="55" t="n"/>
      <c r="E20" s="134" t="inlineStr">
        <is>
          <t>人事部门意见</t>
        </is>
      </c>
      <c r="F20" s="135" t="inlineStr">
        <is>
          <t xml:space="preserve">    根据相关文件及有关规定，经审核，同意你单位：</t>
        </is>
      </c>
      <c r="G20" s="136" t="n"/>
      <c r="H20" s="136" t="n"/>
      <c r="I20" s="136" t="n"/>
      <c r="J20" s="136" t="n"/>
      <c r="K20" s="137" t="n"/>
    </row>
    <row r="21" ht="25" customFormat="1" customHeight="1" s="13">
      <c r="A21" s="52" t="inlineStr">
        <is>
          <t>绩效工资合计</t>
        </is>
      </c>
      <c r="B21" s="53" t="inlineStr">
        <is>
          <t>357</t>
        </is>
      </c>
      <c r="C21" s="54" t="n"/>
      <c r="D21" s="55" t="inlineStr">
        <is>
          <t>462311</t>
        </is>
      </c>
      <c r="E21" s="126" t="n"/>
      <c r="F21" s="73" t="inlineStr">
        <is>
          <t>基础性绩效工资</t>
        </is>
      </c>
      <c r="H21" s="75" t="n">
        <v>357</v>
      </c>
      <c r="I21" s="75" t="inlineStr">
        <is>
          <t>人</t>
        </is>
      </c>
      <c r="J21" s="75" t="n">
        <v>462311</v>
      </c>
      <c r="K21" s="76" t="inlineStr">
        <is>
          <t>元；</t>
        </is>
      </c>
    </row>
    <row r="22" ht="25" customFormat="1" customHeight="1" s="13">
      <c r="A22" s="52" t="inlineStr">
        <is>
          <t>乡镇补贴合计</t>
        </is>
      </c>
      <c r="B22" s="53" t="inlineStr">
        <is>
          <t>356</t>
        </is>
      </c>
      <c r="C22" s="54" t="inlineStr">
        <is>
          <t>350</t>
        </is>
      </c>
      <c r="D22" s="55" t="inlineStr">
        <is>
          <t>124600</t>
        </is>
      </c>
      <c r="E22" s="126" t="n"/>
      <c r="F22" s="73" t="inlineStr">
        <is>
          <t>生活补贴</t>
        </is>
      </c>
      <c r="H22" s="75" t="n">
        <v>356</v>
      </c>
      <c r="I22" s="75" t="inlineStr">
        <is>
          <t>人</t>
        </is>
      </c>
      <c r="J22" s="75" t="n">
        <v>124600</v>
      </c>
      <c r="K22" s="76" t="inlineStr">
        <is>
          <t>元；</t>
        </is>
      </c>
    </row>
    <row r="23" ht="25" customFormat="1" customHeight="1" s="13">
      <c r="A23" s="58" t="inlineStr">
        <is>
          <t>岗位设置遗留问题</t>
        </is>
      </c>
      <c r="B23" s="59" t="inlineStr">
        <is>
          <t>李发金</t>
        </is>
      </c>
      <c r="C23" s="60" t="inlineStr">
        <is>
          <t>321.3</t>
        </is>
      </c>
      <c r="D23" s="99" t="inlineStr">
        <is>
          <t>321.3</t>
        </is>
      </c>
      <c r="E23" s="126" t="n"/>
      <c r="F23" s="77" t="inlineStr">
        <is>
          <t>合计：</t>
        </is>
      </c>
      <c r="J23" s="79" t="n">
        <v>586911</v>
      </c>
      <c r="K23" s="80" t="inlineStr">
        <is>
          <t>元</t>
        </is>
      </c>
    </row>
    <row r="24" ht="25" customFormat="1" customHeight="1" s="13">
      <c r="A24" s="81" t="inlineStr">
        <is>
          <t>岗位设置遗留问题</t>
        </is>
      </c>
      <c r="B24" s="82" t="inlineStr">
        <is>
          <t>李发金</t>
        </is>
      </c>
      <c r="C24" s="82" t="inlineStr">
        <is>
          <t>321.3</t>
        </is>
      </c>
      <c r="D24" s="83" t="inlineStr">
        <is>
          <t>321.3</t>
        </is>
      </c>
      <c r="E24" s="126" t="n"/>
      <c r="F24" s="73" t="inlineStr">
        <is>
          <t>岗位设置遗留</t>
        </is>
      </c>
      <c r="H24" s="75" t="n">
        <v>2</v>
      </c>
      <c r="I24" s="75" t="inlineStr">
        <is>
          <t>人</t>
        </is>
      </c>
      <c r="J24" s="75" t="n">
        <v>675.24</v>
      </c>
      <c r="K24" s="76" t="inlineStr">
        <is>
          <t>元。</t>
        </is>
      </c>
    </row>
    <row r="25" ht="25" customFormat="1" customHeight="1" s="13">
      <c r="A25" s="84" t="inlineStr">
        <is>
          <t>岗位设置遗留问题合计</t>
        </is>
      </c>
      <c r="B25" s="85" t="inlineStr">
        <is>
          <t>2</t>
        </is>
      </c>
      <c r="C25" s="85" t="n"/>
      <c r="D25" s="86" t="inlineStr">
        <is>
          <t>675.24</t>
        </is>
      </c>
      <c r="E25" s="126" t="n"/>
      <c r="F25" s="77" t="inlineStr">
        <is>
          <t>总计：</t>
        </is>
      </c>
      <c r="J25" s="79">
        <f>J23+J24</f>
        <v/>
      </c>
      <c r="K25" s="80" t="inlineStr">
        <is>
          <t>元</t>
        </is>
      </c>
    </row>
    <row r="26" ht="37" customFormat="1" customHeight="1" s="13">
      <c r="A26" s="87" t="inlineStr">
        <is>
          <t>退休干部</t>
        </is>
      </c>
      <c r="B26" s="88" t="inlineStr">
        <is>
          <t>449</t>
        </is>
      </c>
      <c r="C26" s="89" t="n"/>
      <c r="D26" s="90" t="n"/>
      <c r="E26" s="126" t="n"/>
      <c r="F26" s="73" t="inlineStr">
        <is>
          <t>无乡镇补贴</t>
        </is>
      </c>
      <c r="H26" s="75" t="n">
        <v>1</v>
      </c>
      <c r="I26" s="92" t="inlineStr">
        <is>
          <t>人：</t>
        </is>
      </c>
      <c r="J26" s="75" t="inlineStr">
        <is>
          <t>柯坤</t>
        </is>
      </c>
      <c r="K26" s="76" t="n"/>
    </row>
    <row r="27" ht="37" customFormat="1" customHeight="1" s="13">
      <c r="A27" s="104" t="inlineStr">
        <is>
          <t>退休工人</t>
        </is>
      </c>
      <c r="B27" s="94" t="inlineStr">
        <is>
          <t>2</t>
        </is>
      </c>
      <c r="C27" s="105" t="n"/>
      <c r="D27" s="96" t="n"/>
      <c r="E27" s="126" t="n"/>
      <c r="F27" s="77" t="n"/>
      <c r="J27" s="79" t="n"/>
      <c r="K27" s="80" t="n"/>
    </row>
    <row r="28" ht="36" customFormat="1" customHeight="1" s="13">
      <c r="A28" s="97" t="inlineStr">
        <is>
          <t>离休干部</t>
        </is>
      </c>
      <c r="B28" s="98" t="inlineStr">
        <is>
          <t>1</t>
        </is>
      </c>
      <c r="C28" s="59" t="n"/>
      <c r="D28" s="99" t="n"/>
      <c r="E28" s="126" t="n"/>
      <c r="F28" s="41" t="n"/>
      <c r="K28" s="42" t="n"/>
    </row>
    <row r="29" ht="25" customFormat="1" customHeight="1" s="13">
      <c r="A29" s="100" t="inlineStr">
        <is>
          <t>备注：1.高级教师调离1人：测试教师2.二级教师返聘1人：李恩源3.二级教师退休1人：李恩源</t>
        </is>
      </c>
      <c r="B29" s="101" t="n">
        <v>447</v>
      </c>
      <c r="C29" s="102" t="n"/>
      <c r="D29" s="103" t="n"/>
      <c r="E29" s="126" t="n"/>
      <c r="F29" s="41" t="n"/>
      <c r="K29" s="42" t="n"/>
    </row>
    <row r="30" ht="25" customFormat="1" customHeight="1" s="13">
      <c r="A30" s="104" t="inlineStr">
        <is>
          <t>退休工人</t>
        </is>
      </c>
      <c r="B30" s="105" t="n">
        <v>2</v>
      </c>
      <c r="C30" s="53" t="n"/>
      <c r="D30" s="106" t="n"/>
      <c r="E30" s="126" t="n"/>
      <c r="F30" s="73" t="n"/>
      <c r="H30" s="75" t="n"/>
      <c r="I30" s="75" t="n"/>
      <c r="J30" s="108" t="n"/>
      <c r="K30" s="128" t="n"/>
    </row>
    <row r="31" ht="25" customFormat="1" customHeight="1" s="13">
      <c r="A31" s="109" t="inlineStr">
        <is>
          <t>离休干部</t>
        </is>
      </c>
      <c r="B31" s="98" t="n">
        <v>1</v>
      </c>
      <c r="C31" s="59" t="n"/>
      <c r="D31" s="110" t="n"/>
      <c r="E31" s="125" t="n"/>
      <c r="F31" s="138" t="inlineStr">
        <is>
          <t>2026年5月2日</t>
        </is>
      </c>
      <c r="G31" s="131" t="n"/>
      <c r="H31" s="131" t="n"/>
      <c r="I31" s="131" t="n"/>
      <c r="J31" s="131" t="n"/>
      <c r="K31" s="132" t="n"/>
    </row>
    <row r="32" ht="130" customFormat="1" customHeight="1" s="13">
      <c r="A32" s="115" t="inlineStr">
        <is>
          <t xml:space="preserve">
备注：
</t>
        </is>
      </c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40" t="n"/>
    </row>
  </sheetData>
  <mergeCells count="26">
    <mergeCell ref="F20:K20"/>
    <mergeCell ref="F27:I27"/>
    <mergeCell ref="E3:E10"/>
    <mergeCell ref="E11:E19"/>
    <mergeCell ref="F21:G21"/>
    <mergeCell ref="J30:K30"/>
    <mergeCell ref="F24:G24"/>
    <mergeCell ref="F30:G30"/>
    <mergeCell ref="A3:A4"/>
    <mergeCell ref="F31:K31"/>
    <mergeCell ref="F25:I25"/>
    <mergeCell ref="B1:C1"/>
    <mergeCell ref="E20:E31"/>
    <mergeCell ref="F26:G26"/>
    <mergeCell ref="H2:I2"/>
    <mergeCell ref="E2:F2"/>
    <mergeCell ref="F22:G22"/>
    <mergeCell ref="A32:K32"/>
    <mergeCell ref="B3:D3"/>
    <mergeCell ref="F19:K19"/>
    <mergeCell ref="F10:K10"/>
    <mergeCell ref="F6:K6"/>
    <mergeCell ref="F7:K7"/>
    <mergeCell ref="F23:I23"/>
    <mergeCell ref="B2:D2"/>
    <mergeCell ref="F15:K15"/>
  </mergeCells>
  <pageMargins left="0.75" right="0.75" top="1" bottom="1" header="0.5" footer="0.5"/>
  <pageSetup orientation="portrait" paperSize="9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2026-04-28T01:36:34Z</dcterms:created>
  <dcterms:modified xmlns:dcterms="http://purl.org/dc/terms/" xmlns:xsi="http://www.w3.org/2001/XMLSchema-instance" xsi:type="dcterms:W3CDTF">2026-05-01T05:01:30Z</dcterms:modified>
  <cp:lastModifiedBy>高书兵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76A4185DD9F1472AB81B9E37BC99972A_11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</Properties>
</file>