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  <sheet name="Sheet2" sheetId="2" r:id="rId2"/>
  </sheets>
  <definedNames>
    <definedName name="_xlnm._FilterDatabase" localSheetId="0" hidden="1">Sheet1!$A$1:$K$448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<sst xmlns="http://schemas.openxmlformats.org/spreadsheetml/2006/main" count="2569" uniqueCount="1837">
  <si>
    <t>序号</t>
  </si>
  <si>
    <t>姓名</t>
  </si>
  <si>
    <t>身份证号码</t>
  </si>
  <si>
    <t>出生年月</t>
  </si>
  <si>
    <t>参加工作年月</t>
  </si>
  <si>
    <t>退休年月</t>
  </si>
  <si>
    <t>退休前职务（待遇）</t>
  </si>
  <si>
    <t>基本退休费</t>
  </si>
  <si>
    <t>退休补贴</t>
  </si>
  <si>
    <t>调整后退休费合计</t>
  </si>
  <si>
    <t>备注</t>
  </si>
  <si>
    <t>黄致发</t>
  </si>
  <si>
    <t>420683192509142118</t>
  </si>
  <si>
    <t xml:space="preserve"> 1925-09-14</t>
  </si>
  <si>
    <t xml:space="preserve"> 1948-07-31</t>
  </si>
  <si>
    <t xml:space="preserve"> 1986-05-01</t>
  </si>
  <si>
    <t>中级</t>
  </si>
  <si>
    <t>王智保</t>
  </si>
  <si>
    <t>420683194811252114</t>
  </si>
  <si>
    <t xml:space="preserve"> 1948-11-25</t>
  </si>
  <si>
    <t xml:space="preserve"> 1971-02-01</t>
  </si>
  <si>
    <t xml:space="preserve"> 2008-11-01</t>
  </si>
  <si>
    <t>杨德华</t>
  </si>
  <si>
    <t>420683193608092114</t>
  </si>
  <si>
    <t>1960.08-01</t>
  </si>
  <si>
    <t>王天凤</t>
  </si>
  <si>
    <t>420683195707182122</t>
  </si>
  <si>
    <t xml:space="preserve"> 1957-02-18</t>
  </si>
  <si>
    <t xml:space="preserve"> 1976-09-01</t>
  </si>
  <si>
    <t xml:space="preserve"> 2012-02-01</t>
  </si>
  <si>
    <t>高作龙</t>
  </si>
  <si>
    <t>42068319560515223X</t>
  </si>
  <si>
    <t xml:space="preserve"> 1957-03-15</t>
  </si>
  <si>
    <t xml:space="preserve"> 1958-09-01</t>
  </si>
  <si>
    <t>李安顺</t>
  </si>
  <si>
    <t>420683195012302116</t>
  </si>
  <si>
    <t xml:space="preserve"> 1956-12-30</t>
  </si>
  <si>
    <t xml:space="preserve"> 1959-04-01</t>
  </si>
  <si>
    <t xml:space="preserve"> 2016-12-01</t>
  </si>
  <si>
    <t>王桂芝</t>
  </si>
  <si>
    <t>420683195912272127</t>
  </si>
  <si>
    <t xml:space="preserve"> 1958-12-27</t>
  </si>
  <si>
    <t xml:space="preserve"> 1985-03-01</t>
  </si>
  <si>
    <t xml:space="preserve"> 2013-11-01</t>
  </si>
  <si>
    <t>张宗景</t>
  </si>
  <si>
    <t>420683194909092139</t>
  </si>
  <si>
    <t xml:space="preserve"> 1949-04-09</t>
  </si>
  <si>
    <t xml:space="preserve"> 1971-08-01</t>
  </si>
  <si>
    <t xml:space="preserve"> 2009-04-01</t>
  </si>
  <si>
    <t>张修乐</t>
  </si>
  <si>
    <t>420683194112082136</t>
  </si>
  <si>
    <t xml:space="preserve"> 1941-12-08</t>
  </si>
  <si>
    <t xml:space="preserve"> 1971-12-01</t>
  </si>
  <si>
    <t xml:space="preserve"> 2001-12-01</t>
  </si>
  <si>
    <t>王天力</t>
  </si>
  <si>
    <t>420683195603152113</t>
  </si>
  <si>
    <t xml:space="preserve"> 1956-03-15</t>
  </si>
  <si>
    <t xml:space="preserve"> 1964-01-01</t>
  </si>
  <si>
    <t xml:space="preserve"> 2016-03-01</t>
  </si>
  <si>
    <t>周仕举</t>
  </si>
  <si>
    <t>420683195708262132</t>
  </si>
  <si>
    <t xml:space="preserve"> 1957-08-26</t>
  </si>
  <si>
    <t xml:space="preserve"> 1974-03-01</t>
  </si>
  <si>
    <t xml:space="preserve"> 2017-08-01</t>
  </si>
  <si>
    <t>卫瑞祥</t>
  </si>
  <si>
    <t>420683195709200099</t>
  </si>
  <si>
    <t xml:space="preserve"> 1957-09-20</t>
  </si>
  <si>
    <t xml:space="preserve"> 1971-09-01</t>
  </si>
  <si>
    <t xml:space="preserve"> 2017-09-01</t>
  </si>
  <si>
    <t>张宗省</t>
  </si>
  <si>
    <t>420683194911102113</t>
  </si>
  <si>
    <t xml:space="preserve"> 1949-11-10</t>
  </si>
  <si>
    <t xml:space="preserve"> 1969-08-01</t>
  </si>
  <si>
    <t xml:space="preserve"> 2009-11-01</t>
  </si>
  <si>
    <t>姜敬斌</t>
  </si>
  <si>
    <t>420683195810112114</t>
  </si>
  <si>
    <t xml:space="preserve"> 1958-10-11</t>
  </si>
  <si>
    <t xml:space="preserve"> 1957-09-01</t>
  </si>
  <si>
    <t>副高级</t>
  </si>
  <si>
    <t>冯仁昌</t>
  </si>
  <si>
    <t>420683195808242112</t>
  </si>
  <si>
    <t xml:space="preserve"> 1958-08-24</t>
  </si>
  <si>
    <t xml:space="preserve"> 1976-01-01</t>
  </si>
  <si>
    <t xml:space="preserve"> 2018-08-01</t>
  </si>
  <si>
    <t>杨奇峰</t>
  </si>
  <si>
    <t>420683194910052118</t>
  </si>
  <si>
    <t xml:space="preserve"> 1955-10-05</t>
  </si>
  <si>
    <t xml:space="preserve"> 1979-07-01</t>
  </si>
  <si>
    <t xml:space="preserve"> 2015-10-01</t>
  </si>
  <si>
    <t>张运学</t>
  </si>
  <si>
    <t>420683195707232118</t>
  </si>
  <si>
    <t xml:space="preserve"> 1956-07-23</t>
  </si>
  <si>
    <t xml:space="preserve"> 1976-04-01</t>
  </si>
  <si>
    <t xml:space="preserve"> 2016-07-01</t>
  </si>
  <si>
    <t>张正林</t>
  </si>
  <si>
    <t>420683195810172133</t>
  </si>
  <si>
    <t xml:space="preserve"> 1958-10-17</t>
  </si>
  <si>
    <t xml:space="preserve"> 1979-03-01</t>
  </si>
  <si>
    <t xml:space="preserve"> 2018-10-01</t>
  </si>
  <si>
    <t>张慎</t>
  </si>
  <si>
    <t>420622195607222534</t>
  </si>
  <si>
    <t xml:space="preserve"> 1956-07-22</t>
  </si>
  <si>
    <t>叶盛才</t>
  </si>
  <si>
    <t>42062219540718211X</t>
  </si>
  <si>
    <t xml:space="preserve"> 1954-07-18</t>
  </si>
  <si>
    <t xml:space="preserve"> 1974-07-01</t>
  </si>
  <si>
    <t xml:space="preserve"> 2014-09-01</t>
  </si>
  <si>
    <t>任致学</t>
  </si>
  <si>
    <t>420683195108147018</t>
  </si>
  <si>
    <t xml:space="preserve"> 1951-08-14</t>
  </si>
  <si>
    <t xml:space="preserve"> 1972-03-01</t>
  </si>
  <si>
    <t xml:space="preserve"> 2011-08-01</t>
  </si>
  <si>
    <t>侯文华</t>
  </si>
  <si>
    <t>420683195412202122</t>
  </si>
  <si>
    <t xml:space="preserve"> 1953-12-20</t>
  </si>
  <si>
    <t xml:space="preserve"> 1980-09-01</t>
  </si>
  <si>
    <t xml:space="preserve"> 2008-12-01</t>
  </si>
  <si>
    <t>程富秀</t>
  </si>
  <si>
    <t>420622194407282124</t>
  </si>
  <si>
    <t xml:space="preserve"> 1944-07-27</t>
  </si>
  <si>
    <t xml:space="preserve"> 1966-02-01</t>
  </si>
  <si>
    <t xml:space="preserve"> 1999-07-01</t>
  </si>
  <si>
    <t>陈治民</t>
  </si>
  <si>
    <t>420622195108212534</t>
  </si>
  <si>
    <t xml:space="preserve"> 1951-08-21</t>
  </si>
  <si>
    <t xml:space="preserve"> 1970-08-01</t>
  </si>
  <si>
    <t>万仁友</t>
  </si>
  <si>
    <t>420622194907072158</t>
  </si>
  <si>
    <t xml:space="preserve"> 1947-05-07</t>
  </si>
  <si>
    <t xml:space="preserve"> 1972-02-01</t>
  </si>
  <si>
    <t xml:space="preserve"> 2007-05-01</t>
  </si>
  <si>
    <t>杜其义</t>
  </si>
  <si>
    <t>420622194208132115</t>
  </si>
  <si>
    <t xml:space="preserve"> 1940-06-12</t>
  </si>
  <si>
    <t>周清莲</t>
  </si>
  <si>
    <t>420622194309222128</t>
  </si>
  <si>
    <t xml:space="preserve"> 1943-09-21</t>
  </si>
  <si>
    <t xml:space="preserve"> 1998-09-01</t>
  </si>
  <si>
    <t>罗淑兰</t>
  </si>
  <si>
    <t>420683194610142146</t>
  </si>
  <si>
    <t xml:space="preserve"> 1946-10-14</t>
  </si>
  <si>
    <t xml:space="preserve"> 1980-06-01</t>
  </si>
  <si>
    <t xml:space="preserve"> 2001-10-01</t>
  </si>
  <si>
    <t>罗书兰</t>
  </si>
  <si>
    <t>张远业</t>
  </si>
  <si>
    <t>420622194212252152</t>
  </si>
  <si>
    <t xml:space="preserve"> 1942-12-24</t>
  </si>
  <si>
    <t xml:space="preserve"> 1968-09-01</t>
  </si>
  <si>
    <t xml:space="preserve"> 2002-12-01</t>
  </si>
  <si>
    <t>李明生</t>
  </si>
  <si>
    <t>420683194202172119</t>
  </si>
  <si>
    <t xml:space="preserve"> 1942-02-16</t>
  </si>
  <si>
    <t xml:space="preserve"> 1961-10-01</t>
  </si>
  <si>
    <t>高级工</t>
  </si>
  <si>
    <t>李永和</t>
  </si>
  <si>
    <t>420683194410082118</t>
  </si>
  <si>
    <t xml:space="preserve"> 1944-10-07</t>
  </si>
  <si>
    <t>万中友</t>
  </si>
  <si>
    <t>420683194711272118</t>
  </si>
  <si>
    <t xml:space="preserve"> 1947-11-27</t>
  </si>
  <si>
    <t xml:space="preserve"> 1965-08-01</t>
  </si>
  <si>
    <t>高广明</t>
  </si>
  <si>
    <t>420622194707232110</t>
  </si>
  <si>
    <t xml:space="preserve"> 1947-10-22</t>
  </si>
  <si>
    <t xml:space="preserve"> 1970-09-01</t>
  </si>
  <si>
    <t xml:space="preserve"> 2007-07-01</t>
  </si>
  <si>
    <t>周凤云</t>
  </si>
  <si>
    <t>420683195304292140</t>
  </si>
  <si>
    <t xml:space="preserve"> 1953-04-29</t>
  </si>
  <si>
    <t xml:space="preserve"> 1977-10-01</t>
  </si>
  <si>
    <t>张波</t>
  </si>
  <si>
    <t>420622194812052111</t>
  </si>
  <si>
    <t xml:space="preserve"> 1948-03-05</t>
  </si>
  <si>
    <t xml:space="preserve"> 2008-03-01</t>
  </si>
  <si>
    <t>赵兴根</t>
  </si>
  <si>
    <t>420683194807272112</t>
  </si>
  <si>
    <t xml:space="preserve"> 1948-07-26</t>
  </si>
  <si>
    <t xml:space="preserve"> 1973-03-01</t>
  </si>
  <si>
    <t xml:space="preserve"> 2008-07-01</t>
  </si>
  <si>
    <t>齐本生</t>
  </si>
  <si>
    <t>420683194704062112</t>
  </si>
  <si>
    <t xml:space="preserve"> 1948-04-06</t>
  </si>
  <si>
    <t xml:space="preserve"> 1972-09-01</t>
  </si>
  <si>
    <t>邓治荣</t>
  </si>
  <si>
    <t>420683195403112125</t>
  </si>
  <si>
    <t xml:space="preserve"> 1954-03-11</t>
  </si>
  <si>
    <t xml:space="preserve"> 1978-09-01</t>
  </si>
  <si>
    <t xml:space="preserve"> 2009-03-01</t>
  </si>
  <si>
    <t>高秀桂</t>
  </si>
  <si>
    <t>420683195411182182</t>
  </si>
  <si>
    <t xml:space="preserve"> 1954-11-18</t>
  </si>
  <si>
    <t xml:space="preserve"> 1975-09-01</t>
  </si>
  <si>
    <t>王格清</t>
  </si>
  <si>
    <t>420683194912102115</t>
  </si>
  <si>
    <t>杨长华</t>
  </si>
  <si>
    <t>420622195709222121</t>
  </si>
  <si>
    <t xml:space="preserve"> 1957-09-22</t>
  </si>
  <si>
    <t xml:space="preserve"> 1977-12-1</t>
  </si>
  <si>
    <t>高章平</t>
  </si>
  <si>
    <t>420683195203102133</t>
  </si>
  <si>
    <t xml:space="preserve"> 1952-03-10</t>
  </si>
  <si>
    <t xml:space="preserve"> 1971-03-01</t>
  </si>
  <si>
    <t xml:space="preserve"> 2012-03-01</t>
  </si>
  <si>
    <t>齐立军</t>
  </si>
  <si>
    <t>420683195207152111</t>
  </si>
  <si>
    <t xml:space="preserve"> 1952-07-15</t>
  </si>
  <si>
    <t xml:space="preserve"> 2012-07-01</t>
  </si>
  <si>
    <t>王治佑</t>
  </si>
  <si>
    <t>429003195310192158</t>
  </si>
  <si>
    <t xml:space="preserve"> 1953-10-19</t>
  </si>
  <si>
    <t xml:space="preserve"> 2013-10-01</t>
  </si>
  <si>
    <t>陈敏</t>
  </si>
  <si>
    <t>420683196609162165</t>
  </si>
  <si>
    <t xml:space="preserve"> 1964-07-16</t>
  </si>
  <si>
    <t xml:space="preserve"> 1986-01-01</t>
  </si>
  <si>
    <t xml:space="preserve"> 2019-07-01</t>
  </si>
  <si>
    <t>教师</t>
  </si>
  <si>
    <t>田荣群</t>
  </si>
  <si>
    <t>420622195603282118</t>
  </si>
  <si>
    <t xml:space="preserve"> 1956-12-28</t>
  </si>
  <si>
    <t xml:space="preserve"> 1979-01-01</t>
  </si>
  <si>
    <t>李心超</t>
  </si>
  <si>
    <t>420683195803152118</t>
  </si>
  <si>
    <t xml:space="preserve"> 1958-03-15</t>
  </si>
  <si>
    <t xml:space="preserve"> 1975-06-01</t>
  </si>
  <si>
    <t xml:space="preserve"> 2016-06-01</t>
  </si>
  <si>
    <t>水道均</t>
  </si>
  <si>
    <t>420622195310242518</t>
  </si>
  <si>
    <t xml:space="preserve"> 1954-10-24</t>
  </si>
  <si>
    <t xml:space="preserve"> 1956-02-01</t>
  </si>
  <si>
    <t xml:space="preserve"> 2014-10-01</t>
  </si>
  <si>
    <t>叶长生</t>
  </si>
  <si>
    <t>420683195507082135</t>
  </si>
  <si>
    <t xml:space="preserve"> 1955-07-08</t>
  </si>
  <si>
    <t xml:space="preserve"> 1981-09-01</t>
  </si>
  <si>
    <t xml:space="preserve"> 2015-07-01</t>
  </si>
  <si>
    <t>林治平</t>
  </si>
  <si>
    <t>420683195908162531</t>
  </si>
  <si>
    <t xml:space="preserve"> 1959-08-16</t>
  </si>
  <si>
    <t xml:space="preserve"> 1977-03-01</t>
  </si>
  <si>
    <t xml:space="preserve"> 2019-08-01</t>
  </si>
  <si>
    <t>小学高级教师</t>
  </si>
  <si>
    <t>刘大富</t>
  </si>
  <si>
    <t>420622194810102517</t>
  </si>
  <si>
    <t xml:space="preserve"> 1949-10-10</t>
  </si>
  <si>
    <t xml:space="preserve"> 1969-02-01</t>
  </si>
  <si>
    <t>徐德清</t>
  </si>
  <si>
    <t>420622194904252516</t>
  </si>
  <si>
    <t xml:space="preserve"> 1949-04-25</t>
  </si>
  <si>
    <t xml:space="preserve"> 1971-01-01</t>
  </si>
  <si>
    <t>刘修盛</t>
  </si>
  <si>
    <t>42062219471018253X</t>
  </si>
  <si>
    <t xml:space="preserve"> 1946-10-17</t>
  </si>
  <si>
    <t xml:space="preserve"> 2006-10-01</t>
  </si>
  <si>
    <t>钟永凤</t>
  </si>
  <si>
    <t>420622195404072521</t>
  </si>
  <si>
    <t xml:space="preserve"> 1954-10-07</t>
  </si>
  <si>
    <t xml:space="preserve"> 1974-06-01</t>
  </si>
  <si>
    <t xml:space="preserve"> 2009-10-01</t>
  </si>
  <si>
    <t>杨道兵</t>
  </si>
  <si>
    <t>420622193611052516</t>
  </si>
  <si>
    <t xml:space="preserve"> 1938-11-05</t>
  </si>
  <si>
    <t xml:space="preserve"> 1968-10-01</t>
  </si>
  <si>
    <t xml:space="preserve"> 1998-11-01</t>
  </si>
  <si>
    <t>程静</t>
  </si>
  <si>
    <t>420683196608022128</t>
  </si>
  <si>
    <t xml:space="preserve"> 1962-08-02</t>
  </si>
  <si>
    <t xml:space="preserve"> 2017-03-01</t>
  </si>
  <si>
    <t>周新民</t>
  </si>
  <si>
    <t>420622195309292518</t>
  </si>
  <si>
    <t xml:space="preserve"> 1956-09-29</t>
  </si>
  <si>
    <t xml:space="preserve"> 1976-08-01</t>
  </si>
  <si>
    <t xml:space="preserve"> 2016-09-01</t>
  </si>
  <si>
    <t>高文亮</t>
  </si>
  <si>
    <t>420622195009062518</t>
  </si>
  <si>
    <t xml:space="preserve"> 1949-09-06</t>
  </si>
  <si>
    <t xml:space="preserve"> 1969-05-01</t>
  </si>
  <si>
    <t xml:space="preserve"> 2009-09-01</t>
  </si>
  <si>
    <t>王桂云</t>
  </si>
  <si>
    <t>420622195502102544</t>
  </si>
  <si>
    <t xml:space="preserve"> 1954-02-10</t>
  </si>
  <si>
    <t xml:space="preserve"> 1976-02-01</t>
  </si>
  <si>
    <t xml:space="preserve"> 2009-02-01</t>
  </si>
  <si>
    <t>叶家友</t>
  </si>
  <si>
    <t>420622194704042530</t>
  </si>
  <si>
    <t xml:space="preserve"> 1947-04-04</t>
  </si>
  <si>
    <t xml:space="preserve"> 2007-04-01</t>
  </si>
  <si>
    <t>王正玉</t>
  </si>
  <si>
    <t>42062219600314252X</t>
  </si>
  <si>
    <t xml:space="preserve"> 1961-03-14</t>
  </si>
  <si>
    <t xml:space="preserve"> 1978-01-01</t>
  </si>
  <si>
    <t>毛淑珍</t>
  </si>
  <si>
    <t>420622193504032528</t>
  </si>
  <si>
    <t xml:space="preserve"> 1935-04-03</t>
  </si>
  <si>
    <t xml:space="preserve"> 1974-09-01</t>
  </si>
  <si>
    <t xml:space="preserve"> 1990-01-01</t>
  </si>
  <si>
    <t>助理级</t>
  </si>
  <si>
    <t>易成焕</t>
  </si>
  <si>
    <t>420622195907202543</t>
  </si>
  <si>
    <t xml:space="preserve"> 1959-06-20</t>
  </si>
  <si>
    <t xml:space="preserve"> 1977-05-01</t>
  </si>
  <si>
    <t xml:space="preserve"> 2014-06-01</t>
  </si>
  <si>
    <t>水大兵</t>
  </si>
  <si>
    <t>420622194903232513</t>
  </si>
  <si>
    <t xml:space="preserve"> 1949-03-23</t>
  </si>
  <si>
    <t xml:space="preserve"> 1969-06-01</t>
  </si>
  <si>
    <t>王远勤</t>
  </si>
  <si>
    <t>420622195606102522</t>
  </si>
  <si>
    <t xml:space="preserve"> 1956-06-10</t>
  </si>
  <si>
    <t xml:space="preserve"> 2011-06-01</t>
  </si>
  <si>
    <t>吴明清</t>
  </si>
  <si>
    <t>420622195304152524</t>
  </si>
  <si>
    <t xml:space="preserve"> 1954-04-15</t>
  </si>
  <si>
    <t>郭玉玲</t>
  </si>
  <si>
    <t>429003195708182566</t>
  </si>
  <si>
    <t xml:space="preserve"> 1957-08-18</t>
  </si>
  <si>
    <t xml:space="preserve"> 2012-08-01</t>
  </si>
  <si>
    <t>程保华</t>
  </si>
  <si>
    <t>420622195803242524</t>
  </si>
  <si>
    <t xml:space="preserve"> 1958-03-24</t>
  </si>
  <si>
    <t xml:space="preserve"> 2013-03-01</t>
  </si>
  <si>
    <t>王大洲</t>
  </si>
  <si>
    <t>420622194911282510</t>
  </si>
  <si>
    <t xml:space="preserve"> 1949-11-28</t>
  </si>
  <si>
    <t>王正学</t>
  </si>
  <si>
    <t>420622194710052559</t>
  </si>
  <si>
    <t xml:space="preserve"> 1947-10-04</t>
  </si>
  <si>
    <t xml:space="preserve"> 2007-10-01</t>
  </si>
  <si>
    <t>王正芬</t>
  </si>
  <si>
    <t>420683196510222121</t>
  </si>
  <si>
    <t xml:space="preserve"> 1965-10-22</t>
  </si>
  <si>
    <t xml:space="preserve"> 1984-09-01</t>
  </si>
  <si>
    <t xml:space="preserve"> 2020-04-01</t>
  </si>
  <si>
    <t>杜兆琦</t>
  </si>
  <si>
    <t>420622194804272552</t>
  </si>
  <si>
    <t xml:space="preserve"> 1948-04-27</t>
  </si>
  <si>
    <t xml:space="preserve"> 1976-11-01</t>
  </si>
  <si>
    <t>张治英</t>
  </si>
  <si>
    <t>420683193411132127</t>
  </si>
  <si>
    <t xml:space="preserve"> 1934-11-13</t>
  </si>
  <si>
    <t xml:space="preserve"> 1960-09-01</t>
  </si>
  <si>
    <t>王华英</t>
  </si>
  <si>
    <t>420683194011012120</t>
  </si>
  <si>
    <t xml:space="preserve"> 1940-11-01</t>
  </si>
  <si>
    <t>高广华</t>
  </si>
  <si>
    <t>420601194605150745</t>
  </si>
  <si>
    <t>王新轩</t>
  </si>
  <si>
    <t>420683194307122126</t>
  </si>
  <si>
    <t xml:space="preserve"> 1943-07-11</t>
  </si>
  <si>
    <t>彭立珍</t>
  </si>
  <si>
    <t>420683194812122127</t>
  </si>
  <si>
    <t xml:space="preserve"> 1948-12-12</t>
  </si>
  <si>
    <t xml:space="preserve"> 1969-2-1</t>
  </si>
  <si>
    <t>高荣举</t>
  </si>
  <si>
    <t>420683194901282149</t>
  </si>
  <si>
    <t xml:space="preserve"> 1949-02-28</t>
  </si>
  <si>
    <t xml:space="preserve"> 1973-9-1</t>
  </si>
  <si>
    <t>陈英华</t>
  </si>
  <si>
    <t>420683195006172140</t>
  </si>
  <si>
    <t xml:space="preserve"> 2005-08-01</t>
  </si>
  <si>
    <t>杜增英</t>
  </si>
  <si>
    <t>420683195111272127</t>
  </si>
  <si>
    <t xml:space="preserve"> 1951-12-27</t>
  </si>
  <si>
    <t xml:space="preserve"> 2006-12-1</t>
  </si>
  <si>
    <t>杨新慧</t>
  </si>
  <si>
    <t>420683195205232126</t>
  </si>
  <si>
    <t xml:space="preserve"> 1952-05-23</t>
  </si>
  <si>
    <t>董天发</t>
  </si>
  <si>
    <t>420683194709102179</t>
  </si>
  <si>
    <t xml:space="preserve"> 1947-10-09</t>
  </si>
  <si>
    <t xml:space="preserve"> 1964-09-01</t>
  </si>
  <si>
    <t>李明玉</t>
  </si>
  <si>
    <t>420683195206102120</t>
  </si>
  <si>
    <t xml:space="preserve"> 1953-06-10</t>
  </si>
  <si>
    <t xml:space="preserve"> 2008-06-01</t>
  </si>
  <si>
    <t>段修珍</t>
  </si>
  <si>
    <t>420683195303144920</t>
  </si>
  <si>
    <t xml:space="preserve"> 1953-03-14</t>
  </si>
  <si>
    <t>秦中兰</t>
  </si>
  <si>
    <t>420683195303032187</t>
  </si>
  <si>
    <t xml:space="preserve"> 1953-03-03</t>
  </si>
  <si>
    <t xml:space="preserve"> 19729-02-01</t>
  </si>
  <si>
    <t>靖耀宇</t>
  </si>
  <si>
    <t>420683194810202115</t>
  </si>
  <si>
    <t xml:space="preserve"> 1949-10-20</t>
  </si>
  <si>
    <t xml:space="preserve"> 1969-01-01</t>
  </si>
  <si>
    <t>常云玉</t>
  </si>
  <si>
    <t>420683195502192124</t>
  </si>
  <si>
    <t xml:space="preserve"> 1955-02-19</t>
  </si>
  <si>
    <t xml:space="preserve"> 2010-02-01</t>
  </si>
  <si>
    <t>赵全胜</t>
  </si>
  <si>
    <t>420683195602232517</t>
  </si>
  <si>
    <t xml:space="preserve"> 2010-08-01</t>
  </si>
  <si>
    <t>马荷梅</t>
  </si>
  <si>
    <t>420683195512172223</t>
  </si>
  <si>
    <t xml:space="preserve"> 1956-1-17</t>
  </si>
  <si>
    <t xml:space="preserve"> 1977-01-01</t>
  </si>
  <si>
    <t xml:space="preserve"> 2011-01-01</t>
  </si>
  <si>
    <t>徐秀芳</t>
  </si>
  <si>
    <t>420683195603012129</t>
  </si>
  <si>
    <t xml:space="preserve"> 1956-03-01</t>
  </si>
  <si>
    <t xml:space="preserve"> 1975-3-1</t>
  </si>
  <si>
    <t>孙智梅</t>
  </si>
  <si>
    <t>420683195701112246</t>
  </si>
  <si>
    <t xml:space="preserve"> 1957-12-11</t>
  </si>
  <si>
    <t xml:space="preserve"> 1976-3-1</t>
  </si>
  <si>
    <t>陈桂荣</t>
  </si>
  <si>
    <t>420683195809212126</t>
  </si>
  <si>
    <t xml:space="preserve"> 1958-09-21</t>
  </si>
  <si>
    <t xml:space="preserve"> 1978-02-01</t>
  </si>
  <si>
    <t xml:space="preserve"> 2013-09-01</t>
  </si>
  <si>
    <t>金敬强</t>
  </si>
  <si>
    <t>420683195411032117</t>
  </si>
  <si>
    <t xml:space="preserve"> 1954-10-03</t>
  </si>
  <si>
    <t>刘昌顺</t>
  </si>
  <si>
    <t>42068319660626211X</t>
  </si>
  <si>
    <t xml:space="preserve"> 1954-05-26</t>
  </si>
  <si>
    <t xml:space="preserve"> 1977-06-01</t>
  </si>
  <si>
    <t xml:space="preserve"> 2014-05-01</t>
  </si>
  <si>
    <t>王建华</t>
  </si>
  <si>
    <t>420683195008042112</t>
  </si>
  <si>
    <t xml:space="preserve"> 1955-08-04</t>
  </si>
  <si>
    <t xml:space="preserve"> 2015-08-01</t>
  </si>
  <si>
    <t>齐向荣</t>
  </si>
  <si>
    <t>420683195707082121</t>
  </si>
  <si>
    <t xml:space="preserve"> 1960-07-08</t>
  </si>
  <si>
    <t>胡长贞</t>
  </si>
  <si>
    <t>420683194503232111</t>
  </si>
  <si>
    <t xml:space="preserve"> 1955-03-22</t>
  </si>
  <si>
    <t xml:space="preserve"> 1977-09-01</t>
  </si>
  <si>
    <t xml:space="preserve"> 2015-03-01</t>
  </si>
  <si>
    <t>赵春红</t>
  </si>
  <si>
    <t>429003196211147022</t>
  </si>
  <si>
    <t xml:space="preserve"> 1961-11-14</t>
  </si>
  <si>
    <t xml:space="preserve"> 1965-06-01</t>
  </si>
  <si>
    <t xml:space="preserve"> 2016-11-01</t>
  </si>
  <si>
    <t>王光敏</t>
  </si>
  <si>
    <t>420622196208042565</t>
  </si>
  <si>
    <t xml:space="preserve"> 1962-07-04</t>
  </si>
  <si>
    <t xml:space="preserve"> 1980-12-01</t>
  </si>
  <si>
    <t xml:space="preserve"> 2017-07-01</t>
  </si>
  <si>
    <t>熊清华</t>
  </si>
  <si>
    <t>420683196209052143</t>
  </si>
  <si>
    <t xml:space="preserve"> 1963-09-05</t>
  </si>
  <si>
    <t xml:space="preserve"> 2018-09-01</t>
  </si>
  <si>
    <t>杨从菊</t>
  </si>
  <si>
    <t>420683196908292146</t>
  </si>
  <si>
    <t xml:space="preserve"> 1963-08-29</t>
  </si>
  <si>
    <t xml:space="preserve"> 1976-03-01</t>
  </si>
  <si>
    <t>张刚友</t>
  </si>
  <si>
    <t>420683195808162112</t>
  </si>
  <si>
    <t xml:space="preserve"> 1958-09-16</t>
  </si>
  <si>
    <t>王和芬</t>
  </si>
  <si>
    <t>420683196310012189</t>
  </si>
  <si>
    <t xml:space="preserve"> 1963-11-01</t>
  </si>
  <si>
    <t xml:space="preserve"> 2018-11-01</t>
  </si>
  <si>
    <t>高广凤</t>
  </si>
  <si>
    <t>420683196406132185</t>
  </si>
  <si>
    <t xml:space="preserve"> 1964-06-13</t>
  </si>
  <si>
    <t xml:space="preserve"> 2019-06-01</t>
  </si>
  <si>
    <t>夏爱平</t>
  </si>
  <si>
    <t>420683196407062545</t>
  </si>
  <si>
    <t xml:space="preserve"> 1964-07-06</t>
  </si>
  <si>
    <t xml:space="preserve"> 1964-02-01</t>
  </si>
  <si>
    <t>张宗远</t>
  </si>
  <si>
    <t>420683195608262119</t>
  </si>
  <si>
    <t xml:space="preserve"> 1959-08-26</t>
  </si>
  <si>
    <t>李发金</t>
  </si>
  <si>
    <t>420683195303252112</t>
  </si>
  <si>
    <t xml:space="preserve"> 1953-03-25</t>
  </si>
  <si>
    <t xml:space="preserve"> 1975-10-01</t>
  </si>
  <si>
    <t>李明义</t>
  </si>
  <si>
    <t>420683195902042117</t>
  </si>
  <si>
    <t xml:space="preserve"> 1959-04-04</t>
  </si>
  <si>
    <t xml:space="preserve"> 1975-01-01</t>
  </si>
  <si>
    <t xml:space="preserve"> 2019-04-01</t>
  </si>
  <si>
    <t>聂典祥</t>
  </si>
  <si>
    <t>42062219540714253X</t>
  </si>
  <si>
    <t xml:space="preserve"> 1956-09-14</t>
  </si>
  <si>
    <t>黄正国</t>
  </si>
  <si>
    <t>420622195508262514</t>
  </si>
  <si>
    <t xml:space="preserve"> 1955-08-26</t>
  </si>
  <si>
    <t>王正已</t>
  </si>
  <si>
    <t>420622194302082513</t>
  </si>
  <si>
    <t xml:space="preserve"> 1955-10-07</t>
  </si>
  <si>
    <t>张远荣</t>
  </si>
  <si>
    <t>420622193307022515</t>
  </si>
  <si>
    <t xml:space="preserve"> 1933-03-02</t>
  </si>
  <si>
    <t xml:space="preserve"> 1993-03-01</t>
  </si>
  <si>
    <t>郭其义</t>
  </si>
  <si>
    <t>42068319350325253X</t>
  </si>
  <si>
    <t xml:space="preserve"> 1937-04-25</t>
  </si>
  <si>
    <t xml:space="preserve"> 1955-02-01</t>
  </si>
  <si>
    <t xml:space="preserve"> 1997-04-01</t>
  </si>
  <si>
    <t>高士玺</t>
  </si>
  <si>
    <t>420622194209212539</t>
  </si>
  <si>
    <t xml:space="preserve"> 1942-09-20</t>
  </si>
  <si>
    <t xml:space="preserve"> 1960-08-01</t>
  </si>
  <si>
    <t xml:space="preserve"> 2002-09-01</t>
  </si>
  <si>
    <t>周圣明</t>
  </si>
  <si>
    <t>420622193512142516</t>
  </si>
  <si>
    <t xml:space="preserve"> 1942-12-14</t>
  </si>
  <si>
    <t xml:space="preserve"> 1962-07-01</t>
  </si>
  <si>
    <t>郭华芝</t>
  </si>
  <si>
    <t>420622194908252548</t>
  </si>
  <si>
    <t xml:space="preserve"> 1949-08-25</t>
  </si>
  <si>
    <t xml:space="preserve"> 2004-08-01</t>
  </si>
  <si>
    <t>赵光金</t>
  </si>
  <si>
    <t>42062219441006251X</t>
  </si>
  <si>
    <t xml:space="preserve"> 1945-10-05</t>
  </si>
  <si>
    <t xml:space="preserve"> 1969-09-01</t>
  </si>
  <si>
    <t xml:space="preserve"> 2005-10-01</t>
  </si>
  <si>
    <t>赵西庆</t>
  </si>
  <si>
    <t>420622194505282531</t>
  </si>
  <si>
    <t xml:space="preserve"> 1945-05-27</t>
  </si>
  <si>
    <t xml:space="preserve"> 1968-08-01</t>
  </si>
  <si>
    <t xml:space="preserve"> 2005-05-01</t>
  </si>
  <si>
    <t>王肇永</t>
  </si>
  <si>
    <t>420622194611012535</t>
  </si>
  <si>
    <t xml:space="preserve"> 1946-11-01</t>
  </si>
  <si>
    <t xml:space="preserve"> 2006-02-01</t>
  </si>
  <si>
    <t>吴清洁</t>
  </si>
  <si>
    <t>420622194701272517</t>
  </si>
  <si>
    <t xml:space="preserve"> 1947-01-27</t>
  </si>
  <si>
    <t xml:space="preserve"> 2007-01-01</t>
  </si>
  <si>
    <t>吴国荣</t>
  </si>
  <si>
    <t>420683195312072180</t>
  </si>
  <si>
    <t xml:space="preserve"> 1953-12-07</t>
  </si>
  <si>
    <t>吴建华</t>
  </si>
  <si>
    <t>420622194909222519</t>
  </si>
  <si>
    <t xml:space="preserve"> 1949-09-22</t>
  </si>
  <si>
    <t xml:space="preserve"> 1976-05-01</t>
  </si>
  <si>
    <t>张文华</t>
  </si>
  <si>
    <t>420622195208152540</t>
  </si>
  <si>
    <t xml:space="preserve"> 1954-12-15</t>
  </si>
  <si>
    <t xml:space="preserve"> 2009-12-01</t>
  </si>
  <si>
    <t>吴世德</t>
  </si>
  <si>
    <t>420622194812172519</t>
  </si>
  <si>
    <t xml:space="preserve"> 1948-12-17</t>
  </si>
  <si>
    <t xml:space="preserve"> 1974-01-01</t>
  </si>
  <si>
    <t>水道海</t>
  </si>
  <si>
    <t>420622194706202534</t>
  </si>
  <si>
    <t xml:space="preserve"> 1949-06-19</t>
  </si>
  <si>
    <t xml:space="preserve"> 2009-06-01</t>
  </si>
  <si>
    <t>董秀芝</t>
  </si>
  <si>
    <t>420622195509252545</t>
  </si>
  <si>
    <t xml:space="preserve"> 1955-09-25</t>
  </si>
  <si>
    <t xml:space="preserve"> 1975-08-01</t>
  </si>
  <si>
    <t xml:space="preserve"> 2010-09-01</t>
  </si>
  <si>
    <t>汪传照</t>
  </si>
  <si>
    <t>420622195204102511</t>
  </si>
  <si>
    <t xml:space="preserve"> 1952-04-10</t>
  </si>
  <si>
    <t xml:space="preserve"> 1972-01-01</t>
  </si>
  <si>
    <t xml:space="preserve"> 2012-04-01</t>
  </si>
  <si>
    <t>赵西山</t>
  </si>
  <si>
    <t>420622195205052595</t>
  </si>
  <si>
    <t xml:space="preserve"> 1952-05-05</t>
  </si>
  <si>
    <t xml:space="preserve"> 2012-05-01</t>
  </si>
  <si>
    <t>王大贵</t>
  </si>
  <si>
    <t>420622194511102517</t>
  </si>
  <si>
    <t xml:space="preserve"> 1953-11-10</t>
  </si>
  <si>
    <t xml:space="preserve"> 1980-05-01</t>
  </si>
  <si>
    <t>技师</t>
  </si>
  <si>
    <t>彭慧</t>
  </si>
  <si>
    <t>420683196408022246</t>
  </si>
  <si>
    <t xml:space="preserve"> 1964-08-02</t>
  </si>
  <si>
    <t xml:space="preserve"> 1984-01-01</t>
  </si>
  <si>
    <t>孟凡华</t>
  </si>
  <si>
    <t>42068319661220256X</t>
  </si>
  <si>
    <t xml:space="preserve"> 1964-12-20</t>
  </si>
  <si>
    <t xml:space="preserve"> 2019-12-01</t>
  </si>
  <si>
    <t>姜义平</t>
  </si>
  <si>
    <t>420683194509030027</t>
  </si>
  <si>
    <t xml:space="preserve"> 1945-12-03</t>
  </si>
  <si>
    <t xml:space="preserve"> 2000-12-01</t>
  </si>
  <si>
    <t>王正清</t>
  </si>
  <si>
    <t>420622195102172535</t>
  </si>
  <si>
    <t xml:space="preserve"> 1951-12-17</t>
  </si>
  <si>
    <t xml:space="preserve"> 1974-02-01</t>
  </si>
  <si>
    <t xml:space="preserve"> 2011-12-01</t>
  </si>
  <si>
    <t>袁永海</t>
  </si>
  <si>
    <t>420622195404102516</t>
  </si>
  <si>
    <t xml:space="preserve"> 1954-04-10</t>
  </si>
  <si>
    <t xml:space="preserve"> 1973-12-01</t>
  </si>
  <si>
    <t xml:space="preserve"> 2017-04-01</t>
  </si>
  <si>
    <t>李建东</t>
  </si>
  <si>
    <t>420622195412042533</t>
  </si>
  <si>
    <t xml:space="preserve"> 1954-12-04</t>
  </si>
  <si>
    <t xml:space="preserve"> 1975-07-01</t>
  </si>
  <si>
    <t xml:space="preserve"> 2014-12-01</t>
  </si>
  <si>
    <t>李国顺</t>
  </si>
  <si>
    <t>420622195710182534</t>
  </si>
  <si>
    <t xml:space="preserve"> 1957-10-18</t>
  </si>
  <si>
    <t xml:space="preserve"> 2017-10-01</t>
  </si>
  <si>
    <t>郑立平</t>
  </si>
  <si>
    <t>420683195702062535</t>
  </si>
  <si>
    <t xml:space="preserve"> 1957-02-06</t>
  </si>
  <si>
    <t xml:space="preserve"> 2017-02-01</t>
  </si>
  <si>
    <t>舒正凤</t>
  </si>
  <si>
    <t>420622196010202527</t>
  </si>
  <si>
    <t xml:space="preserve"> 1961-11-20</t>
  </si>
  <si>
    <t xml:space="preserve"> 1981-08-01</t>
  </si>
  <si>
    <t>王荣举</t>
  </si>
  <si>
    <t>420622195508182514</t>
  </si>
  <si>
    <t>邢玉凤</t>
  </si>
  <si>
    <t>420683196301012523</t>
  </si>
  <si>
    <t xml:space="preserve"> 1962-01-01</t>
  </si>
  <si>
    <t xml:space="preserve"> 2017-01-01</t>
  </si>
  <si>
    <t>赵清华</t>
  </si>
  <si>
    <t>420622194411272527</t>
  </si>
  <si>
    <t xml:space="preserve"> 1944-11-26</t>
  </si>
  <si>
    <t xml:space="preserve"> 1970-03-01</t>
  </si>
  <si>
    <t xml:space="preserve"> 1999-11-01</t>
  </si>
  <si>
    <t>刘修荣</t>
  </si>
  <si>
    <t>420622194704292521</t>
  </si>
  <si>
    <t xml:space="preserve"> 1942-11-29</t>
  </si>
  <si>
    <t xml:space="preserve"> 2002-11-01</t>
  </si>
  <si>
    <t>周利成</t>
  </si>
  <si>
    <t>420683194411162531</t>
  </si>
  <si>
    <t xml:space="preserve"> 1944-7-16</t>
  </si>
  <si>
    <t xml:space="preserve"> 2004-07-01</t>
  </si>
  <si>
    <t>陈明理</t>
  </si>
  <si>
    <t>420683194306052517</t>
  </si>
  <si>
    <t xml:space="preserve"> 1943-06-04</t>
  </si>
  <si>
    <t xml:space="preserve"> 1967-04-01</t>
  </si>
  <si>
    <t xml:space="preserve"> 2003-06-01</t>
  </si>
  <si>
    <t>刘法仁</t>
  </si>
  <si>
    <t>420622194602012517</t>
  </si>
  <si>
    <t xml:space="preserve"> 1945-02-01</t>
  </si>
  <si>
    <t xml:space="preserve"> 1968-07-01</t>
  </si>
  <si>
    <t xml:space="preserve"> 2005-02-01</t>
  </si>
  <si>
    <t>熊大林</t>
  </si>
  <si>
    <t>420683194704092514</t>
  </si>
  <si>
    <t xml:space="preserve"> 1947-08-09</t>
  </si>
  <si>
    <t xml:space="preserve"> 2007-08-01</t>
  </si>
  <si>
    <t>万文汉</t>
  </si>
  <si>
    <t>420622194703162514</t>
  </si>
  <si>
    <t xml:space="preserve"> 1947-03-16</t>
  </si>
  <si>
    <t xml:space="preserve"> 1966-09-01</t>
  </si>
  <si>
    <t xml:space="preserve"> 2007-03-01</t>
  </si>
  <si>
    <t>李圣玉</t>
  </si>
  <si>
    <t>42062219510917252X</t>
  </si>
  <si>
    <t xml:space="preserve"> 1951-09-17</t>
  </si>
  <si>
    <t xml:space="preserve"> 2006-09-01</t>
  </si>
  <si>
    <t>曹利部</t>
  </si>
  <si>
    <t>420683194711282551</t>
  </si>
  <si>
    <t xml:space="preserve"> 1948-02-28</t>
  </si>
  <si>
    <t xml:space="preserve"> 1968-02-01</t>
  </si>
  <si>
    <t xml:space="preserve"> 2008-02-01</t>
  </si>
  <si>
    <t>周利敏</t>
  </si>
  <si>
    <t>420622195401182522</t>
  </si>
  <si>
    <t xml:space="preserve"> 1954-12-18</t>
  </si>
  <si>
    <t>王荣林</t>
  </si>
  <si>
    <t>420622195006152518</t>
  </si>
  <si>
    <t xml:space="preserve"> 1949-06-15</t>
  </si>
  <si>
    <t xml:space="preserve"> 1979-02-01</t>
  </si>
  <si>
    <t>王智秀</t>
  </si>
  <si>
    <t>420622195504122522</t>
  </si>
  <si>
    <t xml:space="preserve"> 1955-04-12</t>
  </si>
  <si>
    <t xml:space="preserve"> 2010-04-01</t>
  </si>
  <si>
    <t>刘瑞丽</t>
  </si>
  <si>
    <t>420622195612192560</t>
  </si>
  <si>
    <t xml:space="preserve"> 1956-12-19</t>
  </si>
  <si>
    <t>王喜凤</t>
  </si>
  <si>
    <t>420622195512202522</t>
  </si>
  <si>
    <t xml:space="preserve"> 1956-12-20</t>
  </si>
  <si>
    <t xml:space="preserve"> 1977-07-01</t>
  </si>
  <si>
    <t>董超云</t>
  </si>
  <si>
    <t>42062219571015252X</t>
  </si>
  <si>
    <t xml:space="preserve"> 1957-11-15</t>
  </si>
  <si>
    <t xml:space="preserve"> 2012-11-01</t>
  </si>
  <si>
    <t>万选凤</t>
  </si>
  <si>
    <t>420622195712242561</t>
  </si>
  <si>
    <t xml:space="preserve"> 1957-12-24</t>
  </si>
  <si>
    <t xml:space="preserve"> 2012-12-01</t>
  </si>
  <si>
    <t>张义志</t>
  </si>
  <si>
    <t>420622195508152577</t>
  </si>
  <si>
    <t xml:space="preserve"> 1952-08-15</t>
  </si>
  <si>
    <t>刘修瑞</t>
  </si>
  <si>
    <t>420622195305252535</t>
  </si>
  <si>
    <t xml:space="preserve"> 1953-06-25</t>
  </si>
  <si>
    <t xml:space="preserve"> 1980-03-01</t>
  </si>
  <si>
    <t xml:space="preserve"> 2013-06-01</t>
  </si>
  <si>
    <t>王大清</t>
  </si>
  <si>
    <t>420622195308132512</t>
  </si>
  <si>
    <t xml:space="preserve"> 1953-08-13</t>
  </si>
  <si>
    <t xml:space="preserve"> 2013-08-01</t>
  </si>
  <si>
    <t>侯长梅</t>
  </si>
  <si>
    <t>420622195809092520</t>
  </si>
  <si>
    <t xml:space="preserve"> 1958-08-09</t>
  </si>
  <si>
    <t>郭天英</t>
  </si>
  <si>
    <t>420622195907232523</t>
  </si>
  <si>
    <t xml:space="preserve"> 1959-07-23</t>
  </si>
  <si>
    <t xml:space="preserve"> 2014-07-01</t>
  </si>
  <si>
    <t>刘维真</t>
  </si>
  <si>
    <t>420683195709252534</t>
  </si>
  <si>
    <t xml:space="preserve"> 1959-09-25</t>
  </si>
  <si>
    <t xml:space="preserve"> 1983-09-01</t>
  </si>
  <si>
    <t xml:space="preserve"> 2019-09-01</t>
  </si>
  <si>
    <t>刘华村</t>
  </si>
  <si>
    <t>420622194412052518</t>
  </si>
  <si>
    <t xml:space="preserve"> 1944-12-04</t>
  </si>
  <si>
    <t xml:space="preserve"> 1965-03-01</t>
  </si>
  <si>
    <t xml:space="preserve"> 2004-12-01</t>
  </si>
  <si>
    <t>张光悦</t>
  </si>
  <si>
    <t>420683193211132114</t>
  </si>
  <si>
    <t xml:space="preserve"> 1933-11-13</t>
  </si>
  <si>
    <t xml:space="preserve"> 1958-03-01</t>
  </si>
  <si>
    <t>小学高级</t>
  </si>
  <si>
    <t>张广悦</t>
  </si>
  <si>
    <t>杨步芳</t>
  </si>
  <si>
    <t>420683195012142167</t>
  </si>
  <si>
    <t xml:space="preserve"> 1950-12-14</t>
  </si>
  <si>
    <t xml:space="preserve"> 2005-12-1</t>
  </si>
  <si>
    <t>韩明杰</t>
  </si>
  <si>
    <t>42068319500630211X</t>
  </si>
  <si>
    <t xml:space="preserve"> 1950-06-30</t>
  </si>
  <si>
    <t xml:space="preserve"> 1970-7-1</t>
  </si>
  <si>
    <t xml:space="preserve"> 2010-6-1</t>
  </si>
  <si>
    <t>周玉成</t>
  </si>
  <si>
    <t>420622195705212110</t>
  </si>
  <si>
    <t xml:space="preserve"> 1957-11-21</t>
  </si>
  <si>
    <t xml:space="preserve"> 2017-11-01</t>
  </si>
  <si>
    <t>王荣敏</t>
  </si>
  <si>
    <t>420683194606102125</t>
  </si>
  <si>
    <t xml:space="preserve"> 1946-06-09</t>
  </si>
  <si>
    <t xml:space="preserve"> 2001-06-01</t>
  </si>
  <si>
    <t>王永敏</t>
  </si>
  <si>
    <t>袁云清</t>
  </si>
  <si>
    <t>420683195801122126</t>
  </si>
  <si>
    <t xml:space="preserve"> 1958-01-12</t>
  </si>
  <si>
    <t xml:space="preserve"> 2013-01-01</t>
  </si>
  <si>
    <t>张世明</t>
  </si>
  <si>
    <t>420683194907202111</t>
  </si>
  <si>
    <t xml:space="preserve"> 1949-06-20</t>
  </si>
  <si>
    <t>王海芳</t>
  </si>
  <si>
    <t>420683195404102148</t>
  </si>
  <si>
    <t>张学梅</t>
  </si>
  <si>
    <t>420683195703202122</t>
  </si>
  <si>
    <t xml:space="preserve"> 1956-04-20</t>
  </si>
  <si>
    <t xml:space="preserve"> 1976-12-15</t>
  </si>
  <si>
    <t>肖诚敬</t>
  </si>
  <si>
    <t>420683194108242133</t>
  </si>
  <si>
    <t xml:space="preserve"> 1941-08-24</t>
  </si>
  <si>
    <t xml:space="preserve"> 1964-07-01</t>
  </si>
  <si>
    <t xml:space="preserve"> 2001-08-01</t>
  </si>
  <si>
    <t>李运芝</t>
  </si>
  <si>
    <t>420683194211052127</t>
  </si>
  <si>
    <t xml:space="preserve"> 1942-11-04</t>
  </si>
  <si>
    <t xml:space="preserve"> 1997-11-01</t>
  </si>
  <si>
    <t>刘荣英</t>
  </si>
  <si>
    <t>420622194012172123</t>
  </si>
  <si>
    <t xml:space="preserve"> 1940-12-17</t>
  </si>
  <si>
    <t xml:space="preserve"> 1957-12-01</t>
  </si>
  <si>
    <t xml:space="preserve"> 2000-08-01</t>
  </si>
  <si>
    <t>刘永英</t>
  </si>
  <si>
    <t>王兴云</t>
  </si>
  <si>
    <t>42068319520517216X</t>
  </si>
  <si>
    <t xml:space="preserve"> 1952-05-17</t>
  </si>
  <si>
    <t xml:space="preserve"> 1976-0*-01</t>
  </si>
  <si>
    <t>张照全</t>
  </si>
  <si>
    <t>420683195411052134</t>
  </si>
  <si>
    <t xml:space="preserve"> 1952-11-05</t>
  </si>
  <si>
    <t xml:space="preserve"> 1973-09-01</t>
  </si>
  <si>
    <t>靖春华</t>
  </si>
  <si>
    <t>42068319520512212X</t>
  </si>
  <si>
    <t xml:space="preserve"> 1952-05-12</t>
  </si>
  <si>
    <t>刘明芝</t>
  </si>
  <si>
    <t>420683196310240085</t>
  </si>
  <si>
    <t xml:space="preserve"> 1962-06-24</t>
  </si>
  <si>
    <t xml:space="preserve"> 2017-06-01</t>
  </si>
  <si>
    <t>张书莲</t>
  </si>
  <si>
    <t>420683195504142120</t>
  </si>
  <si>
    <t xml:space="preserve"> 1955-04-14</t>
  </si>
  <si>
    <t>刘昌梅</t>
  </si>
  <si>
    <t>420683195702142180</t>
  </si>
  <si>
    <t xml:space="preserve"> 1957-02-14</t>
  </si>
  <si>
    <t xml:space="preserve"> 1977-02-01</t>
  </si>
  <si>
    <t>王秀玲</t>
  </si>
  <si>
    <t>420683195505182124</t>
  </si>
  <si>
    <t xml:space="preserve"> 1955-04-18</t>
  </si>
  <si>
    <t xml:space="preserve"> 1975-05-01</t>
  </si>
  <si>
    <t>司章荣</t>
  </si>
  <si>
    <t>420683195305292126</t>
  </si>
  <si>
    <t xml:space="preserve"> 1953-08-29</t>
  </si>
  <si>
    <t xml:space="preserve"> 2008-08-01</t>
  </si>
  <si>
    <t>王文梅</t>
  </si>
  <si>
    <t>420683195509262121</t>
  </si>
  <si>
    <t xml:space="preserve"> 1955-09-26</t>
  </si>
  <si>
    <t>刘体顺</t>
  </si>
  <si>
    <t>420622195102052111</t>
  </si>
  <si>
    <t xml:space="preserve"> 1954-04-05</t>
  </si>
  <si>
    <t xml:space="preserve"> 2014-04-01</t>
  </si>
  <si>
    <t>张道兵</t>
  </si>
  <si>
    <t>420683194701242134</t>
  </si>
  <si>
    <t xml:space="preserve"> 1947-02-24</t>
  </si>
  <si>
    <t xml:space="preserve"> 2007-02-01</t>
  </si>
  <si>
    <t>王书林</t>
  </si>
  <si>
    <t>42062219570519213X</t>
  </si>
  <si>
    <t xml:space="preserve"> 1957-06-19</t>
  </si>
  <si>
    <t>张照传</t>
  </si>
  <si>
    <t>420683195204292119</t>
  </si>
  <si>
    <t xml:space="preserve"> 1952-04-29</t>
  </si>
  <si>
    <t xml:space="preserve"> 2012-4-01</t>
  </si>
  <si>
    <t>肖诚政</t>
  </si>
  <si>
    <t>420683194609172110</t>
  </si>
  <si>
    <t xml:space="preserve"> 1946-09-16</t>
  </si>
  <si>
    <t xml:space="preserve"> 1971-9-1</t>
  </si>
  <si>
    <t xml:space="preserve"> 2006-9-1</t>
  </si>
  <si>
    <t>张照凯</t>
  </si>
  <si>
    <t>42068319541103215X</t>
  </si>
  <si>
    <t xml:space="preserve"> 1954-11-03</t>
  </si>
  <si>
    <t xml:space="preserve"> 2011-10-01</t>
  </si>
  <si>
    <t>肖中明</t>
  </si>
  <si>
    <t>420683195010232134</t>
  </si>
  <si>
    <t xml:space="preserve"> 1942-12-17</t>
  </si>
  <si>
    <t xml:space="preserve"> 1964-4-1</t>
  </si>
  <si>
    <t>孙增明</t>
  </si>
  <si>
    <t>420683194006052144</t>
  </si>
  <si>
    <t xml:space="preserve"> 1940-06-05</t>
  </si>
  <si>
    <t>张秀玉</t>
  </si>
  <si>
    <t>420622194910202160</t>
  </si>
  <si>
    <t xml:space="preserve"> 2004-10-1</t>
  </si>
  <si>
    <t>曹明银</t>
  </si>
  <si>
    <t>420622194508192531</t>
  </si>
  <si>
    <t xml:space="preserve"> 1945-08-18</t>
  </si>
  <si>
    <t xml:space="preserve"> 1969-12-01</t>
  </si>
  <si>
    <t>常永兰</t>
  </si>
  <si>
    <t>420683195105102527</t>
  </si>
  <si>
    <t xml:space="preserve"> 1955-08-10</t>
  </si>
  <si>
    <t xml:space="preserve"> 1970-01-01</t>
  </si>
  <si>
    <t>丁志荣</t>
  </si>
  <si>
    <t>429003195712032528</t>
  </si>
  <si>
    <t xml:space="preserve"> 1957-12-03</t>
  </si>
  <si>
    <t>冯玉珍</t>
  </si>
  <si>
    <t>420622196105292529</t>
  </si>
  <si>
    <t xml:space="preserve"> 1961-05-29</t>
  </si>
  <si>
    <t xml:space="preserve"> 1977-08-01</t>
  </si>
  <si>
    <t xml:space="preserve"> 2016-05-01</t>
  </si>
  <si>
    <t>太平镇第二小学教师</t>
  </si>
  <si>
    <t>黄诚祥</t>
  </si>
  <si>
    <t>420622195309102550</t>
  </si>
  <si>
    <t xml:space="preserve"> 1956-03-10</t>
  </si>
  <si>
    <t>黄诚昭</t>
  </si>
  <si>
    <t>420622193610202519</t>
  </si>
  <si>
    <t xml:space="preserve"> 1936-11-20</t>
  </si>
  <si>
    <t xml:space="preserve"> 1958-01-01</t>
  </si>
  <si>
    <t xml:space="preserve"> 1996-11-01</t>
  </si>
  <si>
    <t>姜慧英</t>
  </si>
  <si>
    <t>420622195911152526</t>
  </si>
  <si>
    <t xml:space="preserve"> 1958-11-15</t>
  </si>
  <si>
    <t xml:space="preserve"> 1983-06-01</t>
  </si>
  <si>
    <t xml:space="preserve"> 2013-12-01</t>
  </si>
  <si>
    <t>姜敬芳</t>
  </si>
  <si>
    <t>420683193706072520</t>
  </si>
  <si>
    <t xml:space="preserve"> 1967-09-01</t>
  </si>
  <si>
    <t>廖书文</t>
  </si>
  <si>
    <t>420622195401072518</t>
  </si>
  <si>
    <t xml:space="preserve"> 1954-01-07</t>
  </si>
  <si>
    <t xml:space="preserve"> 2014-01-01</t>
  </si>
  <si>
    <t>马平</t>
  </si>
  <si>
    <t>420683194910262123</t>
  </si>
  <si>
    <t xml:space="preserve"> 1957-10-26</t>
  </si>
  <si>
    <t xml:space="preserve"> 2012-10-01</t>
  </si>
  <si>
    <t>孟桂兰</t>
  </si>
  <si>
    <t>420683195302102526</t>
  </si>
  <si>
    <t xml:space="preserve"> 1955-6-10</t>
  </si>
  <si>
    <t xml:space="preserve"> 2010-06-01</t>
  </si>
  <si>
    <t>孟慧清</t>
  </si>
  <si>
    <t>420622195305082548</t>
  </si>
  <si>
    <t xml:space="preserve"> 1953-05-08</t>
  </si>
  <si>
    <t xml:space="preserve"> 2008-05-01</t>
  </si>
  <si>
    <t>孟义华</t>
  </si>
  <si>
    <t>420622196201082521</t>
  </si>
  <si>
    <t xml:space="preserve"> 1962-02-08</t>
  </si>
  <si>
    <t xml:space="preserve"> 1979-08-01</t>
  </si>
  <si>
    <t>牛杨清</t>
  </si>
  <si>
    <t>420622195410062522</t>
  </si>
  <si>
    <t xml:space="preserve"> 1955-01-06</t>
  </si>
  <si>
    <t xml:space="preserve"> 2010-01-01</t>
  </si>
  <si>
    <t>彭德国</t>
  </si>
  <si>
    <t>420622194906222513</t>
  </si>
  <si>
    <t xml:space="preserve"> 1949-07-22</t>
  </si>
  <si>
    <t xml:space="preserve"> 2009-07-01</t>
  </si>
  <si>
    <t>莘居乐</t>
  </si>
  <si>
    <t>420622195205192512</t>
  </si>
  <si>
    <t xml:space="preserve"> 1952-05-19</t>
  </si>
  <si>
    <t>莘学安</t>
  </si>
  <si>
    <t>420683194707062513</t>
  </si>
  <si>
    <t xml:space="preserve"> 1946-08-06</t>
  </si>
  <si>
    <t xml:space="preserve"> 1970-04-01</t>
  </si>
  <si>
    <t xml:space="preserve"> 2006-08-01</t>
  </si>
  <si>
    <t>田明荣</t>
  </si>
  <si>
    <t>420622195308062542</t>
  </si>
  <si>
    <t xml:space="preserve"> 1953-08-06</t>
  </si>
  <si>
    <t xml:space="preserve"> 1978-05-01</t>
  </si>
  <si>
    <t>王大超</t>
  </si>
  <si>
    <t>420622194501222515</t>
  </si>
  <si>
    <t xml:space="preserve"> 1955-01-21</t>
  </si>
  <si>
    <t xml:space="preserve"> 2015-05-01</t>
  </si>
  <si>
    <t>王大运</t>
  </si>
  <si>
    <t>420622194811172517</t>
  </si>
  <si>
    <t xml:space="preserve"> 1948-11-17</t>
  </si>
  <si>
    <t>王兆敏</t>
  </si>
  <si>
    <t>42062219430614251X</t>
  </si>
  <si>
    <t xml:space="preserve"> 1955-06-13</t>
  </si>
  <si>
    <t xml:space="preserve"> 2015-06-01</t>
  </si>
  <si>
    <t>王正华</t>
  </si>
  <si>
    <t>420622195705122545</t>
  </si>
  <si>
    <t xml:space="preserve"> 1957-05-12</t>
  </si>
  <si>
    <t>熊如明</t>
  </si>
  <si>
    <t>420622195907092532</t>
  </si>
  <si>
    <t xml:space="preserve"> 1959-07-09</t>
  </si>
  <si>
    <t>张学玉</t>
  </si>
  <si>
    <t>420683196609142148</t>
  </si>
  <si>
    <t xml:space="preserve"> 1966-09-14</t>
  </si>
  <si>
    <t>莘立兰</t>
  </si>
  <si>
    <t>420622195412282529</t>
  </si>
  <si>
    <t xml:space="preserve"> 1955-3-28</t>
  </si>
  <si>
    <t xml:space="preserve"> 2010-03-01</t>
  </si>
  <si>
    <t>王正菊</t>
  </si>
  <si>
    <t>420683196409192140</t>
  </si>
  <si>
    <t xml:space="preserve"> 1964-09-19</t>
  </si>
  <si>
    <t xml:space="preserve"> 1984-08-01</t>
  </si>
  <si>
    <t>一级教师</t>
  </si>
  <si>
    <t>赵秀敏</t>
  </si>
  <si>
    <t>420622193109262542</t>
  </si>
  <si>
    <t xml:space="preserve"> 1963-02-01</t>
  </si>
  <si>
    <t xml:space="preserve"> 1996-02-01</t>
  </si>
  <si>
    <t>秦忠杰</t>
  </si>
  <si>
    <t>420622195201022532</t>
  </si>
  <si>
    <t xml:space="preserve"> 1952-01-02</t>
  </si>
  <si>
    <t xml:space="preserve"> 2012-01-01</t>
  </si>
  <si>
    <t>张德运</t>
  </si>
  <si>
    <t>420683194712222112</t>
  </si>
  <si>
    <t xml:space="preserve"> 1946-12-22</t>
  </si>
  <si>
    <t xml:space="preserve"> 2006-12-01</t>
  </si>
  <si>
    <t>张荣友</t>
  </si>
  <si>
    <t>420622195104262518</t>
  </si>
  <si>
    <t xml:space="preserve"> 1953-08-26</t>
  </si>
  <si>
    <t>周运学</t>
  </si>
  <si>
    <t>420622195604052517</t>
  </si>
  <si>
    <t xml:space="preserve"> 1956-04-05</t>
  </si>
  <si>
    <t xml:space="preserve"> 2016-04-01</t>
  </si>
  <si>
    <t>陈先林</t>
  </si>
  <si>
    <t>420622193808022513</t>
  </si>
  <si>
    <t xml:space="preserve"> 1938-08-02</t>
  </si>
  <si>
    <t xml:space="preserve"> 1967-08-01</t>
  </si>
  <si>
    <t xml:space="preserve"> 1998-08-01</t>
  </si>
  <si>
    <t>丁志高</t>
  </si>
  <si>
    <t>420622194008012514</t>
  </si>
  <si>
    <t xml:space="preserve"> 1940-08-01</t>
  </si>
  <si>
    <t>郭宪杰</t>
  </si>
  <si>
    <t>420622195308142542</t>
  </si>
  <si>
    <t xml:space="preserve"> 1957-06-14</t>
  </si>
  <si>
    <t xml:space="preserve"> 1984-02-01</t>
  </si>
  <si>
    <t xml:space="preserve"> 2012-06-01</t>
  </si>
  <si>
    <t>姜法瑞</t>
  </si>
  <si>
    <t>420622194205292519</t>
  </si>
  <si>
    <t xml:space="preserve"> 1942-05-28</t>
  </si>
  <si>
    <t xml:space="preserve"> 2002-05-01</t>
  </si>
  <si>
    <t>刘仕芳</t>
  </si>
  <si>
    <t>420622194706072522</t>
  </si>
  <si>
    <t xml:space="preserve"> 1947-08-06</t>
  </si>
  <si>
    <t xml:space="preserve"> 2002-08-01</t>
  </si>
  <si>
    <t>毛义珍</t>
  </si>
  <si>
    <t>420622194610092545</t>
  </si>
  <si>
    <t xml:space="preserve"> 1946-10-09</t>
  </si>
  <si>
    <t xml:space="preserve"> 1972-02-08</t>
  </si>
  <si>
    <t>戚佑珍</t>
  </si>
  <si>
    <t>42062219500508252X</t>
  </si>
  <si>
    <t xml:space="preserve"> 1951-12-08</t>
  </si>
  <si>
    <t xml:space="preserve"> 1976-07-01</t>
  </si>
  <si>
    <t>任玉锦</t>
  </si>
  <si>
    <t>420622195112222524</t>
  </si>
  <si>
    <t xml:space="preserve"> 1951-04-22</t>
  </si>
  <si>
    <t xml:space="preserve"> 1971-04-01</t>
  </si>
  <si>
    <t xml:space="preserve"> 2006-04-01</t>
  </si>
  <si>
    <t>王心忠</t>
  </si>
  <si>
    <t>420622194008282514</t>
  </si>
  <si>
    <t xml:space="preserve"> 1941-08-28</t>
  </si>
  <si>
    <t xml:space="preserve"> 1968-05-01</t>
  </si>
  <si>
    <t>吴清文</t>
  </si>
  <si>
    <t>420622193711262510</t>
  </si>
  <si>
    <t xml:space="preserve"> 1937-11-26</t>
  </si>
  <si>
    <t>徐中平</t>
  </si>
  <si>
    <t>420622195507202528</t>
  </si>
  <si>
    <t xml:space="preserve"> 1956-07-20</t>
  </si>
  <si>
    <t xml:space="preserve"> 2011-07-01</t>
  </si>
  <si>
    <t>杨德永</t>
  </si>
  <si>
    <t>420622195110252519</t>
  </si>
  <si>
    <t xml:space="preserve"> 1952-10-25</t>
  </si>
  <si>
    <t>杨齐文</t>
  </si>
  <si>
    <t>420622193505062518</t>
  </si>
  <si>
    <t>朱爱清</t>
  </si>
  <si>
    <t>420683195707092522</t>
  </si>
  <si>
    <t xml:space="preserve"> 1978-08-01</t>
  </si>
  <si>
    <t>朱元平</t>
  </si>
  <si>
    <t>420622193710162518</t>
  </si>
  <si>
    <t xml:space="preserve"> 1937-11-16</t>
  </si>
  <si>
    <t xml:space="preserve"> 1958-08-01</t>
  </si>
  <si>
    <t>刘昌和</t>
  </si>
  <si>
    <t>42062219490729253X</t>
  </si>
  <si>
    <t xml:space="preserve"> 1955-07-29</t>
  </si>
  <si>
    <t>刘国印</t>
  </si>
  <si>
    <t>420683195502252131</t>
  </si>
  <si>
    <t xml:space="preserve"> 1956-02-25</t>
  </si>
  <si>
    <t xml:space="preserve"> 2016-02-01</t>
  </si>
  <si>
    <t>莘乐</t>
  </si>
  <si>
    <t>420683196105042522</t>
  </si>
  <si>
    <t xml:space="preserve"> 1961-05-04</t>
  </si>
  <si>
    <t xml:space="preserve"> 1983-10-01</t>
  </si>
  <si>
    <t>杨业勤</t>
  </si>
  <si>
    <t>42062219510120251X</t>
  </si>
  <si>
    <t xml:space="preserve"> 1955-11-20</t>
  </si>
  <si>
    <t xml:space="preserve"> 2015-11-01</t>
  </si>
  <si>
    <t>张道良</t>
  </si>
  <si>
    <t>420622194606272519</t>
  </si>
  <si>
    <t xml:space="preserve"> 1955-06-26</t>
  </si>
  <si>
    <t>莘玉荣</t>
  </si>
  <si>
    <t>420622196210112526</t>
  </si>
  <si>
    <t xml:space="preserve"> 1962-10-11</t>
  </si>
  <si>
    <t xml:space="preserve"> 1985-09-01</t>
  </si>
  <si>
    <t>聂道理</t>
  </si>
  <si>
    <t>420622195901032555</t>
  </si>
  <si>
    <t xml:space="preserve"> 1959-01-03</t>
  </si>
  <si>
    <t xml:space="preserve"> 1979-12-01</t>
  </si>
  <si>
    <t xml:space="preserve"> 2019-01-01</t>
  </si>
  <si>
    <t>王义和</t>
  </si>
  <si>
    <t>420622195112282519</t>
  </si>
  <si>
    <t xml:space="preserve"> 1951-12-28</t>
  </si>
  <si>
    <t>靳开国</t>
  </si>
  <si>
    <t>42062219480831211X</t>
  </si>
  <si>
    <t xml:space="preserve"> 1948-08-30</t>
  </si>
  <si>
    <t>郝秀菊</t>
  </si>
  <si>
    <t>420683195204022127</t>
  </si>
  <si>
    <t xml:space="preserve"> 1952-04-02</t>
  </si>
  <si>
    <t>高士斗</t>
  </si>
  <si>
    <t>420683194512012137</t>
  </si>
  <si>
    <t xml:space="preserve"> 1945-12-01</t>
  </si>
  <si>
    <t xml:space="preserve"> 2005-12-01</t>
  </si>
  <si>
    <t>高士敏</t>
  </si>
  <si>
    <t>420683195507142142</t>
  </si>
  <si>
    <t xml:space="preserve"> 1955-06-14</t>
  </si>
  <si>
    <t xml:space="preserve"> 1975-02-01</t>
  </si>
  <si>
    <t>邢玉坤</t>
  </si>
  <si>
    <t>420683195409092110</t>
  </si>
  <si>
    <t xml:space="preserve"> 1949-09-09</t>
  </si>
  <si>
    <t>李忠生</t>
  </si>
  <si>
    <t>420683195202122116</t>
  </si>
  <si>
    <t xml:space="preserve"> 1952-02-12</t>
  </si>
  <si>
    <t>周旭贞</t>
  </si>
  <si>
    <t>420683195901152138</t>
  </si>
  <si>
    <t xml:space="preserve"> 1959-01-15</t>
  </si>
  <si>
    <t>王富胜</t>
  </si>
  <si>
    <t>420683193310202114</t>
  </si>
  <si>
    <t xml:space="preserve"> 1934-10-20</t>
  </si>
  <si>
    <t xml:space="preserve"> 1956-07-01</t>
  </si>
  <si>
    <t xml:space="preserve"> 1994-10-01</t>
  </si>
  <si>
    <t>邢玉进</t>
  </si>
  <si>
    <t>420683195705062119</t>
  </si>
  <si>
    <t xml:space="preserve"> 1958-09-06</t>
  </si>
  <si>
    <t>李秀文</t>
  </si>
  <si>
    <t>420683195305252140</t>
  </si>
  <si>
    <t xml:space="preserve"> 1953-09-25</t>
  </si>
  <si>
    <t xml:space="preserve"> 2008-09-01</t>
  </si>
  <si>
    <t>刘义芝</t>
  </si>
  <si>
    <t>420683196406252128</t>
  </si>
  <si>
    <t xml:space="preserve"> 1964-12-25</t>
  </si>
  <si>
    <t xml:space="preserve"> 1984-03-01</t>
  </si>
  <si>
    <t>姜敬福</t>
  </si>
  <si>
    <t>429003194106102130</t>
  </si>
  <si>
    <t xml:space="preserve"> 1941-07-10</t>
  </si>
  <si>
    <t xml:space="preserve"> 1961-07-01</t>
  </si>
  <si>
    <t xml:space="preserve"> 2001-07-01</t>
  </si>
  <si>
    <t>肖中波</t>
  </si>
  <si>
    <t>420683194903252111</t>
  </si>
  <si>
    <t xml:space="preserve"> 1957-07-25</t>
  </si>
  <si>
    <t>张秀华</t>
  </si>
  <si>
    <t>420622195710012172</t>
  </si>
  <si>
    <t xml:space="preserve"> 1957-02-01</t>
  </si>
  <si>
    <t>李经明</t>
  </si>
  <si>
    <t>420683195702052150</t>
  </si>
  <si>
    <t xml:space="preserve"> 1957-02-05</t>
  </si>
  <si>
    <t>司良</t>
  </si>
  <si>
    <t>420683195704102115</t>
  </si>
  <si>
    <t xml:space="preserve"> 1957-04-10</t>
  </si>
  <si>
    <t>崔立田</t>
  </si>
  <si>
    <t>429003194003122112</t>
  </si>
  <si>
    <t xml:space="preserve"> 1940-03-12</t>
  </si>
  <si>
    <t xml:space="preserve"> 1966-08-01</t>
  </si>
  <si>
    <t xml:space="preserve"> 2000-03-01</t>
  </si>
  <si>
    <t>董保林</t>
  </si>
  <si>
    <t>42062219471206211X</t>
  </si>
  <si>
    <t xml:space="preserve"> 1947-10-06</t>
  </si>
  <si>
    <t>杜华敏</t>
  </si>
  <si>
    <t>420683194307212121</t>
  </si>
  <si>
    <t xml:space="preserve"> 1943-07-20</t>
  </si>
  <si>
    <t xml:space="preserve"> 1962-09-01</t>
  </si>
  <si>
    <t xml:space="preserve"> 1998-07-01</t>
  </si>
  <si>
    <t>高朝云</t>
  </si>
  <si>
    <t>42068319510708211X</t>
  </si>
  <si>
    <t xml:space="preserve"> 1950-07-08</t>
  </si>
  <si>
    <t xml:space="preserve"> 2010-07-01</t>
  </si>
  <si>
    <t>高士荣</t>
  </si>
  <si>
    <t>420683195604202127</t>
  </si>
  <si>
    <t xml:space="preserve"> 1958-08-20</t>
  </si>
  <si>
    <t>一中</t>
  </si>
  <si>
    <t>高新忠</t>
  </si>
  <si>
    <t>420683194205082119</t>
  </si>
  <si>
    <t xml:space="preserve"> 1942-06-07</t>
  </si>
  <si>
    <t xml:space="preserve"> 2002-06-01</t>
  </si>
  <si>
    <t>韩道瑞</t>
  </si>
  <si>
    <t>420683194811142118</t>
  </si>
  <si>
    <t xml:space="preserve"> 1948-12-14</t>
  </si>
  <si>
    <t>郝万德</t>
  </si>
  <si>
    <t>420683194109032111</t>
  </si>
  <si>
    <t xml:space="preserve"> 1941-10-02</t>
  </si>
  <si>
    <t xml:space="preserve"> 1965-04-01</t>
  </si>
  <si>
    <t>李心锐</t>
  </si>
  <si>
    <t>420683195004122115</t>
  </si>
  <si>
    <t xml:space="preserve"> 1950-04-12</t>
  </si>
  <si>
    <t xml:space="preserve"> 1971-10-01</t>
  </si>
  <si>
    <t xml:space="preserve"> 2010-4-01</t>
  </si>
  <si>
    <t>刘明玉</t>
  </si>
  <si>
    <t>42068319450921212X</t>
  </si>
  <si>
    <t xml:space="preserve"> 1945-08-20</t>
  </si>
  <si>
    <t>刘体生</t>
  </si>
  <si>
    <t>420683195409282117</t>
  </si>
  <si>
    <t xml:space="preserve"> 1955-09-28</t>
  </si>
  <si>
    <t xml:space="preserve"> 1974-12-01</t>
  </si>
  <si>
    <t xml:space="preserve"> 2015-09-01</t>
  </si>
  <si>
    <t>中学一级</t>
  </si>
  <si>
    <t>刘修政</t>
  </si>
  <si>
    <t>420683194106032116</t>
  </si>
  <si>
    <t xml:space="preserve"> 1941-06-03</t>
  </si>
  <si>
    <t>马祥生</t>
  </si>
  <si>
    <t>420683195108092117</t>
  </si>
  <si>
    <t xml:space="preserve"> 1951-08-09</t>
  </si>
  <si>
    <t xml:space="preserve"> 2011-8-01</t>
  </si>
  <si>
    <t>孙桂英</t>
  </si>
  <si>
    <t>420683194002012129</t>
  </si>
  <si>
    <t>孙立英</t>
  </si>
  <si>
    <t>420683194307202126</t>
  </si>
  <si>
    <t xml:space="preserve"> 1943-07-19</t>
  </si>
  <si>
    <t>中学</t>
  </si>
  <si>
    <t>孙世同</t>
  </si>
  <si>
    <t>420683194012212116</t>
  </si>
  <si>
    <t xml:space="preserve"> 1940-12-21</t>
  </si>
  <si>
    <t xml:space="preserve"> 1960-02-01</t>
  </si>
  <si>
    <t>万仁广</t>
  </si>
  <si>
    <t>420683194705052119</t>
  </si>
  <si>
    <t xml:space="preserve"> 1947-06-04</t>
  </si>
  <si>
    <t xml:space="preserve"> 2007-6-1</t>
  </si>
  <si>
    <t>王金平</t>
  </si>
  <si>
    <t>420683195011172137</t>
  </si>
  <si>
    <t xml:space="preserve"> 1950-11-17</t>
  </si>
  <si>
    <t xml:space="preserve"> 2010-11-01</t>
  </si>
  <si>
    <t>王明金</t>
  </si>
  <si>
    <t>420683194710042118</t>
  </si>
  <si>
    <t xml:space="preserve"> 1948-12-03</t>
  </si>
  <si>
    <t>王清芳</t>
  </si>
  <si>
    <t>420683195804102120</t>
  </si>
  <si>
    <t xml:space="preserve"> 1958-04-10</t>
  </si>
  <si>
    <t xml:space="preserve"> 2013-04-01</t>
  </si>
  <si>
    <t>王秀英</t>
  </si>
  <si>
    <t>420683194410202124</t>
  </si>
  <si>
    <t xml:space="preserve"> 1944-10-19</t>
  </si>
  <si>
    <t xml:space="preserve"> 1999-10-01</t>
  </si>
  <si>
    <t>杨宜梅</t>
  </si>
  <si>
    <t>420683195507102167</t>
  </si>
  <si>
    <t xml:space="preserve"> 1955-07-10</t>
  </si>
  <si>
    <t>张道秀</t>
  </si>
  <si>
    <t>420683194211132127</t>
  </si>
  <si>
    <t xml:space="preserve"> 1942-11-12</t>
  </si>
  <si>
    <t>张道玉</t>
  </si>
  <si>
    <t>420683194909012119</t>
  </si>
  <si>
    <t xml:space="preserve"> 1950-09-01</t>
  </si>
  <si>
    <t>张留根</t>
  </si>
  <si>
    <t>420683194512222118</t>
  </si>
  <si>
    <t xml:space="preserve"> 1945-11-22</t>
  </si>
  <si>
    <t xml:space="preserve"> 1967-07-01</t>
  </si>
  <si>
    <t xml:space="preserve"> 2005-11-01</t>
  </si>
  <si>
    <t>赵兴芝</t>
  </si>
  <si>
    <t>420683195503192126</t>
  </si>
  <si>
    <t xml:space="preserve"> 1955-03-19</t>
  </si>
  <si>
    <t xml:space="preserve"> 1974-10-01</t>
  </si>
  <si>
    <t>周荣全</t>
  </si>
  <si>
    <t>420683194612282118</t>
  </si>
  <si>
    <t xml:space="preserve"> 1946-12-28</t>
  </si>
  <si>
    <t>竺双槑</t>
  </si>
  <si>
    <t>420683194011022118</t>
  </si>
  <si>
    <t xml:space="preserve"> 1940-10-02</t>
  </si>
  <si>
    <t xml:space="preserve"> 1965-07-01</t>
  </si>
  <si>
    <t xml:space="preserve"> 2000-10-01</t>
  </si>
  <si>
    <t>副市级</t>
  </si>
  <si>
    <t>韩书芳</t>
  </si>
  <si>
    <t>420622196309242128</t>
  </si>
  <si>
    <t xml:space="preserve"> 1962-08-24</t>
  </si>
  <si>
    <t>李玉萍</t>
  </si>
  <si>
    <t>420683196406012124</t>
  </si>
  <si>
    <t xml:space="preserve"> 1964-06-01</t>
  </si>
  <si>
    <t>高士新</t>
  </si>
  <si>
    <t>420683195602022130</t>
  </si>
  <si>
    <t xml:space="preserve"> 1956-12-02</t>
  </si>
  <si>
    <t xml:space="preserve"> 1980-02-01</t>
  </si>
  <si>
    <t>于国云</t>
  </si>
  <si>
    <t>420683193803062113</t>
  </si>
  <si>
    <t xml:space="preserve"> 1938-02-06</t>
  </si>
  <si>
    <t xml:space="preserve"> 1998-02-01</t>
  </si>
  <si>
    <t>周华英</t>
  </si>
  <si>
    <t>42062219430618252X</t>
  </si>
  <si>
    <t xml:space="preserve"> 1943-06-17</t>
  </si>
  <si>
    <t>姜法中</t>
  </si>
  <si>
    <t>420622195008062516</t>
  </si>
  <si>
    <t xml:space="preserve"> 1950-08-06</t>
  </si>
  <si>
    <t xml:space="preserve"> 1971-12-1</t>
  </si>
  <si>
    <t>刘丽华</t>
  </si>
  <si>
    <t>420683193211082540</t>
  </si>
  <si>
    <t xml:space="preserve"> 1932-11-08</t>
  </si>
  <si>
    <t>谢时芬</t>
  </si>
  <si>
    <t>42062219540702252X</t>
  </si>
  <si>
    <t xml:space="preserve"> 1954-07-02</t>
  </si>
  <si>
    <t>孙天志</t>
  </si>
  <si>
    <t>42062219390712251X</t>
  </si>
  <si>
    <t xml:space="preserve"> 1939-07-12</t>
  </si>
  <si>
    <t>陈贺庆</t>
  </si>
  <si>
    <t>420622195403022514</t>
  </si>
  <si>
    <t xml:space="preserve"> 1954-03-02</t>
  </si>
  <si>
    <t xml:space="preserve"> 2014-03-01</t>
  </si>
  <si>
    <t>谢正元</t>
  </si>
  <si>
    <t>42062219490406251X</t>
  </si>
  <si>
    <t xml:space="preserve"> 1949-10-06</t>
  </si>
  <si>
    <t>郑吉敏</t>
  </si>
  <si>
    <t>420622195501052522</t>
  </si>
  <si>
    <t xml:space="preserve"> 1955-07-05</t>
  </si>
  <si>
    <t xml:space="preserve"> 1975-04-01</t>
  </si>
  <si>
    <t>王中兰</t>
  </si>
  <si>
    <t>420683194506082526</t>
  </si>
  <si>
    <t xml:space="preserve"> 1945-06-07</t>
  </si>
  <si>
    <t xml:space="preserve"> 1964-03-01</t>
  </si>
  <si>
    <t xml:space="preserve"> 2000-06-01</t>
  </si>
  <si>
    <t>杨治元</t>
  </si>
  <si>
    <t>420622195506182510</t>
  </si>
  <si>
    <t xml:space="preserve"> 1955-06-18</t>
  </si>
  <si>
    <t xml:space="preserve"> 1964-04-01</t>
  </si>
  <si>
    <t>太平镇袁寨小学教师</t>
  </si>
  <si>
    <t>王爱民</t>
  </si>
  <si>
    <t>420622195607202533</t>
  </si>
  <si>
    <t xml:space="preserve"> 1958-02-20</t>
  </si>
  <si>
    <t xml:space="preserve"> 2018-02-01</t>
  </si>
  <si>
    <t>代超连</t>
  </si>
  <si>
    <t>420683195510052527</t>
  </si>
  <si>
    <t xml:space="preserve"> 1976-8-01</t>
  </si>
  <si>
    <t xml:space="preserve"> 2010-10-01</t>
  </si>
  <si>
    <t>陈万秀</t>
  </si>
  <si>
    <t>420622196206152568</t>
  </si>
  <si>
    <t xml:space="preserve"> 1962-06-15</t>
  </si>
  <si>
    <t>张宗祎</t>
  </si>
  <si>
    <t>420622195107122510</t>
  </si>
  <si>
    <t xml:space="preserve"> 1951-07-12</t>
  </si>
  <si>
    <t xml:space="preserve"> 1976-12-01</t>
  </si>
  <si>
    <t>张谦</t>
  </si>
  <si>
    <t>42062219480408253X</t>
  </si>
  <si>
    <t xml:space="preserve"> 1949-04-08</t>
  </si>
  <si>
    <t>刘华敬</t>
  </si>
  <si>
    <t>420622195205042573</t>
  </si>
  <si>
    <t xml:space="preserve"> 1952-05-04</t>
  </si>
  <si>
    <t xml:space="preserve"> 1974-04-01</t>
  </si>
  <si>
    <t>李开才</t>
  </si>
  <si>
    <t>42062219430606251X</t>
  </si>
  <si>
    <t xml:space="preserve"> 1943-06-05</t>
  </si>
  <si>
    <t>邢泽敏</t>
  </si>
  <si>
    <t>42062219400415251X</t>
  </si>
  <si>
    <t xml:space="preserve"> 1940-04-15</t>
  </si>
  <si>
    <t xml:space="preserve"> 2000-04-01</t>
  </si>
  <si>
    <t>董久群</t>
  </si>
  <si>
    <t>420622194208262534</t>
  </si>
  <si>
    <t xml:space="preserve"> 1942-08-25</t>
  </si>
  <si>
    <t>刘修银</t>
  </si>
  <si>
    <t>42062219560910251X</t>
  </si>
  <si>
    <t xml:space="preserve"> 1956-09-10</t>
  </si>
  <si>
    <t>代立珍</t>
  </si>
  <si>
    <t>420683195911212528</t>
  </si>
  <si>
    <t xml:space="preserve"> 1958-11-21</t>
  </si>
  <si>
    <t xml:space="preserve"> 1979-10-01</t>
  </si>
  <si>
    <t>高凤芝</t>
  </si>
  <si>
    <t>420622194409092527</t>
  </si>
  <si>
    <t xml:space="preserve"> 1943-09-08</t>
  </si>
  <si>
    <t>赵勇昌</t>
  </si>
  <si>
    <t>420622195912302514</t>
  </si>
  <si>
    <t xml:space="preserve"> 1959-11-30</t>
  </si>
  <si>
    <t xml:space="preserve"> 2019-11-01</t>
  </si>
  <si>
    <t>420683195702222527</t>
  </si>
  <si>
    <t xml:space="preserve"> 1958-08-22</t>
  </si>
  <si>
    <t>袁寨</t>
  </si>
  <si>
    <t>盘南光</t>
  </si>
  <si>
    <t>420622196206032515</t>
  </si>
  <si>
    <t xml:space="preserve"> 1962-06-03</t>
  </si>
  <si>
    <t xml:space="preserve"> 1981-04-01</t>
  </si>
  <si>
    <t xml:space="preserve"> 2021-06-30</t>
  </si>
  <si>
    <t>吕海云</t>
  </si>
  <si>
    <t>420683196609172144</t>
  </si>
  <si>
    <t xml:space="preserve"> 1966-09-17</t>
  </si>
  <si>
    <t xml:space="preserve"> 1988-08-31</t>
  </si>
  <si>
    <t xml:space="preserve"> 2019-09-30</t>
  </si>
  <si>
    <t>姜法合</t>
  </si>
  <si>
    <t>420622196208062515</t>
  </si>
  <si>
    <t xml:space="preserve"> 1962-08-06</t>
  </si>
  <si>
    <t xml:space="preserve"> 2021-08-31</t>
  </si>
  <si>
    <t>舒兴立</t>
  </si>
  <si>
    <t>420622196007032512</t>
  </si>
  <si>
    <t xml:space="preserve"> 1961-08-07</t>
  </si>
  <si>
    <t xml:space="preserve"> 2021-09-30</t>
  </si>
  <si>
    <t>张金勋</t>
  </si>
  <si>
    <t>420683196109102115</t>
  </si>
  <si>
    <t xml:space="preserve"> 1961-09-10</t>
  </si>
  <si>
    <t>张洪英</t>
  </si>
  <si>
    <t>420683196609082122</t>
  </si>
  <si>
    <t xml:space="preserve"> 1966-09-08</t>
  </si>
  <si>
    <t xml:space="preserve"> 2021-09-10</t>
  </si>
  <si>
    <t>崔红云</t>
  </si>
  <si>
    <t>420683196710012145</t>
  </si>
  <si>
    <t xml:space="preserve"> 1966-10-01</t>
  </si>
  <si>
    <t xml:space="preserve"> 1988-09-01</t>
  </si>
  <si>
    <t xml:space="preserve"> 2021-10-31</t>
  </si>
  <si>
    <t>水光宏</t>
  </si>
  <si>
    <t>420622196304152510</t>
  </si>
  <si>
    <t xml:space="preserve"> 1961-10-04</t>
  </si>
  <si>
    <t>孟庆科</t>
  </si>
  <si>
    <t>420683196111012151</t>
  </si>
  <si>
    <t xml:space="preserve"> 1961-11-01</t>
  </si>
  <si>
    <t xml:space="preserve"> 1986-09-01</t>
  </si>
  <si>
    <t xml:space="preserve"> 2021-11-30</t>
  </si>
  <si>
    <t>李传学</t>
  </si>
  <si>
    <t>420683196112202117</t>
  </si>
  <si>
    <t xml:space="preserve"> 1961-12-20</t>
  </si>
  <si>
    <t xml:space="preserve"> 1980-06-02</t>
  </si>
  <si>
    <t xml:space="preserve"> 2021-12-31</t>
  </si>
  <si>
    <t>孙海荣</t>
  </si>
  <si>
    <t>429003196711102162</t>
  </si>
  <si>
    <t xml:space="preserve"> 1969-12-10</t>
  </si>
  <si>
    <t>孙阳英</t>
  </si>
  <si>
    <t>420622194301032127</t>
  </si>
  <si>
    <t xml:space="preserve"> 1944-12-02</t>
  </si>
  <si>
    <t xml:space="preserve"> 1966-01-15</t>
  </si>
  <si>
    <t xml:space="preserve"> 1999-12-01</t>
  </si>
  <si>
    <t>郭敬国</t>
  </si>
  <si>
    <t>420683194902142113</t>
  </si>
  <si>
    <t xml:space="preserve"> 1950-8-14</t>
  </si>
  <si>
    <t>卫文英</t>
  </si>
  <si>
    <t>420622194302262127</t>
  </si>
  <si>
    <t>王林超</t>
  </si>
  <si>
    <t>420683194607062110</t>
  </si>
  <si>
    <t xml:space="preserve"> 1949-6-6</t>
  </si>
  <si>
    <t>莘安群</t>
  </si>
  <si>
    <t>420622195605122118</t>
  </si>
  <si>
    <t xml:space="preserve"> 1956-05-12</t>
  </si>
  <si>
    <t xml:space="preserve"> 1977-06-15</t>
  </si>
  <si>
    <t xml:space="preserve"> 2016-05-30</t>
  </si>
  <si>
    <t>张华芝</t>
  </si>
  <si>
    <t>420683195802142145</t>
  </si>
  <si>
    <t xml:space="preserve"> 1958-02-14</t>
  </si>
  <si>
    <t xml:space="preserve"> 1977-09-15</t>
  </si>
  <si>
    <t xml:space="preserve"> 2013-02-1</t>
  </si>
  <si>
    <t>杨吉荣</t>
  </si>
  <si>
    <t>420683195703162140</t>
  </si>
  <si>
    <t xml:space="preserve"> 1957-02-16</t>
  </si>
  <si>
    <t xml:space="preserve"> 1976-2-1</t>
  </si>
  <si>
    <t>王秀昭</t>
  </si>
  <si>
    <t>420683193008200329</t>
  </si>
  <si>
    <t xml:space="preserve"> 1930-08-20</t>
  </si>
  <si>
    <t xml:space="preserve"> 1952-02-15</t>
  </si>
  <si>
    <t>李海龙</t>
  </si>
  <si>
    <t>420622194706202550</t>
  </si>
  <si>
    <t xml:space="preserve"> 1947-06-19</t>
  </si>
  <si>
    <t xml:space="preserve"> 1969-11-1</t>
  </si>
  <si>
    <t>常光芳</t>
  </si>
  <si>
    <t>420300194508150943</t>
  </si>
  <si>
    <t xml:space="preserve"> 1946-08-14</t>
  </si>
  <si>
    <t xml:space="preserve"> 1964-09-1</t>
  </si>
  <si>
    <t>靳杰</t>
  </si>
  <si>
    <t>420622195611142123</t>
  </si>
  <si>
    <t xml:space="preserve"> 1956-11-14</t>
  </si>
  <si>
    <t>郭克惠</t>
  </si>
  <si>
    <t>420683194509082126</t>
  </si>
  <si>
    <t xml:space="preserve"> 1945-09-07</t>
  </si>
  <si>
    <t>赵才梅</t>
  </si>
  <si>
    <t>420683195410082120</t>
  </si>
  <si>
    <t xml:space="preserve"> 1954-12-08</t>
  </si>
  <si>
    <t xml:space="preserve"> 1976-09-1</t>
  </si>
  <si>
    <t xml:space="preserve"> 2009-12-30</t>
  </si>
  <si>
    <t>耿学友</t>
  </si>
  <si>
    <t>420683195506134255</t>
  </si>
  <si>
    <t xml:space="preserve"> 1955-02-13</t>
  </si>
  <si>
    <t xml:space="preserve"> 1961-10-15</t>
  </si>
  <si>
    <t xml:space="preserve"> 2015-02-28</t>
  </si>
  <si>
    <t>王智国</t>
  </si>
  <si>
    <t>420683194712072118</t>
  </si>
  <si>
    <t xml:space="preserve"> 1947-12-07</t>
  </si>
  <si>
    <t xml:space="preserve"> 1970-04-15</t>
  </si>
  <si>
    <t xml:space="preserve"> 2007-12-30</t>
  </si>
  <si>
    <t>王和玉</t>
  </si>
  <si>
    <t>420683195108262163</t>
  </si>
  <si>
    <t xml:space="preserve"> 1951-08-26</t>
  </si>
  <si>
    <t xml:space="preserve"> 1975-09-15</t>
  </si>
  <si>
    <t xml:space="preserve"> 2006-08-1</t>
  </si>
  <si>
    <t>王桂荣</t>
  </si>
  <si>
    <t>420683195505232128</t>
  </si>
  <si>
    <t xml:space="preserve"> 1955-05-23</t>
  </si>
  <si>
    <t xml:space="preserve"> 1976-01-15</t>
  </si>
  <si>
    <t xml:space="preserve"> 2010-05-30</t>
  </si>
  <si>
    <t>叶什长</t>
  </si>
  <si>
    <t>420683193712062118</t>
  </si>
  <si>
    <t xml:space="preserve"> 1937-12-06</t>
  </si>
  <si>
    <t xml:space="preserve"> 1971-01-15</t>
  </si>
  <si>
    <t xml:space="preserve"> 1997-12-30</t>
  </si>
  <si>
    <t>秦宗富</t>
  </si>
  <si>
    <t>420622195110092535</t>
  </si>
  <si>
    <t xml:space="preserve"> 1951-10-09</t>
  </si>
  <si>
    <t xml:space="preserve"> 1972-01-15</t>
  </si>
  <si>
    <t xml:space="preserve"> 2011-10-30</t>
  </si>
  <si>
    <t>曹亨菊</t>
  </si>
  <si>
    <t>420683196303032122</t>
  </si>
  <si>
    <t xml:space="preserve"> 1958-05-03</t>
  </si>
  <si>
    <t xml:space="preserve"> 1983-07-15</t>
  </si>
  <si>
    <t xml:space="preserve"> 2013-05-30</t>
  </si>
  <si>
    <t>王正荣</t>
  </si>
  <si>
    <t>420683194712162121</t>
  </si>
  <si>
    <t>乔金凤</t>
  </si>
  <si>
    <t>420622195807272122</t>
  </si>
  <si>
    <t xml:space="preserve"> 1959-06-27</t>
  </si>
  <si>
    <t xml:space="preserve"> 1980-06-15</t>
  </si>
  <si>
    <t xml:space="preserve"> 2014-06-30</t>
  </si>
  <si>
    <t>刘秀凤</t>
  </si>
  <si>
    <t>420620194404152022</t>
  </si>
  <si>
    <t xml:space="preserve"> 1948-05-14</t>
  </si>
  <si>
    <t xml:space="preserve"> 1972-03-1</t>
  </si>
  <si>
    <t xml:space="preserve"> 2003-5-1</t>
  </si>
  <si>
    <t>卫文保</t>
  </si>
  <si>
    <t>420683195105092111</t>
  </si>
  <si>
    <t xml:space="preserve"> 1951-03-09</t>
  </si>
  <si>
    <t xml:space="preserve"> 2011-03-1</t>
  </si>
  <si>
    <t>王正山</t>
  </si>
  <si>
    <t>420622195305132197</t>
  </si>
  <si>
    <t xml:space="preserve"> 1953-12-13</t>
  </si>
  <si>
    <t xml:space="preserve"> 1978-10-15</t>
  </si>
  <si>
    <t xml:space="preserve"> 2013-12-30</t>
  </si>
  <si>
    <t>李玉广</t>
  </si>
  <si>
    <t>420683194012282122</t>
  </si>
  <si>
    <t>罗德贵</t>
  </si>
  <si>
    <t>420622195111162128</t>
  </si>
  <si>
    <t xml:space="preserve"> 1952-11-16</t>
  </si>
  <si>
    <t xml:space="preserve"> 1972-02-1</t>
  </si>
  <si>
    <t xml:space="preserve"> 2007-11-30</t>
  </si>
  <si>
    <t>王秀连</t>
  </si>
  <si>
    <t>420683195503132166</t>
  </si>
  <si>
    <t xml:space="preserve"> 1955-03-13</t>
  </si>
  <si>
    <t xml:space="preserve"> 1976-09-15</t>
  </si>
  <si>
    <t xml:space="preserve"> 2010-03-30</t>
  </si>
  <si>
    <t>王兴长</t>
  </si>
  <si>
    <t>420622194212092136</t>
  </si>
  <si>
    <t xml:space="preserve"> 1942-12-08</t>
  </si>
  <si>
    <t xml:space="preserve"> 1974-02-15</t>
  </si>
  <si>
    <t xml:space="preserve"> 2002-12-10</t>
  </si>
  <si>
    <t>王正凤</t>
  </si>
  <si>
    <t>420622195907162545</t>
  </si>
  <si>
    <t>张秀云</t>
  </si>
  <si>
    <t>420622195107247268</t>
  </si>
  <si>
    <t xml:space="preserve"> 1951-07-24</t>
  </si>
  <si>
    <t xml:space="preserve"> 1974-1-1</t>
  </si>
  <si>
    <t>郭书堂</t>
  </si>
  <si>
    <t>420683195812182116</t>
  </si>
  <si>
    <t xml:space="preserve"> 1959-12-02</t>
  </si>
  <si>
    <t xml:space="preserve"> 1982-10-15</t>
  </si>
  <si>
    <t xml:space="preserve"> 2019-12-30</t>
  </si>
  <si>
    <t>付德兵</t>
  </si>
  <si>
    <t>420683195507152172</t>
  </si>
  <si>
    <t xml:space="preserve"> 1955-06-15</t>
  </si>
  <si>
    <t xml:space="preserve"> 1979-12-15</t>
  </si>
  <si>
    <t xml:space="preserve"> 2015-06-30</t>
  </si>
  <si>
    <t>柳文杰</t>
  </si>
  <si>
    <t>420622195203012135</t>
  </si>
  <si>
    <t xml:space="preserve"> 1952-03-01</t>
  </si>
  <si>
    <t xml:space="preserve"> 1971-09-15</t>
  </si>
  <si>
    <t xml:space="preserve"> 2012-03-1</t>
  </si>
  <si>
    <t>蔡清荣</t>
  </si>
  <si>
    <t>42068319620817216X</t>
  </si>
  <si>
    <t xml:space="preserve"> 1956-07-17</t>
  </si>
  <si>
    <t xml:space="preserve"> 1981-9-1</t>
  </si>
  <si>
    <t>周明晔</t>
  </si>
  <si>
    <t>420683195202262135</t>
  </si>
  <si>
    <t xml:space="preserve"> 1952-3-26</t>
  </si>
  <si>
    <t>李清忠</t>
  </si>
  <si>
    <t>420622194602012138</t>
  </si>
  <si>
    <t xml:space="preserve"> 1946-12-01</t>
  </si>
  <si>
    <t>王金云</t>
  </si>
  <si>
    <t>420683195211262129</t>
  </si>
  <si>
    <t xml:space="preserve"> 1952-10-26</t>
  </si>
  <si>
    <t xml:space="preserve"> 1972-02-15</t>
  </si>
  <si>
    <t xml:space="preserve"> 2007-10-1</t>
  </si>
  <si>
    <t>朱正海</t>
  </si>
  <si>
    <t>420683195708122199</t>
  </si>
  <si>
    <t xml:space="preserve"> 1957-08-07</t>
  </si>
  <si>
    <t xml:space="preserve"> 1960-02-15</t>
  </si>
  <si>
    <t xml:space="preserve"> 2017-08-30</t>
  </si>
  <si>
    <t>游清凤</t>
  </si>
  <si>
    <t>420683195812250246</t>
  </si>
  <si>
    <t xml:space="preserve"> 1953-12-25</t>
  </si>
  <si>
    <t xml:space="preserve"> 1980-03-1</t>
  </si>
  <si>
    <t xml:space="preserve"> 2008-12-30</t>
  </si>
  <si>
    <t>龚荣敏</t>
  </si>
  <si>
    <t>420622195702252141</t>
  </si>
  <si>
    <t xml:space="preserve"> 1958-02-25</t>
  </si>
  <si>
    <t xml:space="preserve"> 2013-00-30</t>
  </si>
  <si>
    <t>杨宜芳</t>
  </si>
  <si>
    <t>420683196608252126</t>
  </si>
  <si>
    <t xml:space="preserve"> 1962-02-25</t>
  </si>
  <si>
    <t xml:space="preserve"> 1960-08-15</t>
  </si>
  <si>
    <t xml:space="preserve"> 2017-02-30</t>
  </si>
  <si>
    <t>孟兆香</t>
  </si>
  <si>
    <t>420683196007102165</t>
  </si>
  <si>
    <t xml:space="preserve"> 1955-07-12</t>
  </si>
  <si>
    <t xml:space="preserve"> 1978-04-15</t>
  </si>
  <si>
    <t xml:space="preserve"> 2010-07-30</t>
  </si>
  <si>
    <t>高正兰</t>
  </si>
  <si>
    <t>420683195402152125</t>
  </si>
  <si>
    <t xml:space="preserve"> 1953-02-15</t>
  </si>
  <si>
    <t xml:space="preserve"> 1977-05-15</t>
  </si>
  <si>
    <t xml:space="preserve"> 2008-02-30</t>
  </si>
  <si>
    <t>张家玉</t>
  </si>
  <si>
    <t>420622195512102142</t>
  </si>
  <si>
    <t xml:space="preserve"> 1955-12-10</t>
  </si>
  <si>
    <t xml:space="preserve"> 1976-10-15</t>
  </si>
  <si>
    <t xml:space="preserve"> 2010-12-30</t>
  </si>
  <si>
    <t>张风香</t>
  </si>
  <si>
    <t>42068319530921212X</t>
  </si>
  <si>
    <t xml:space="preserve"> 1953-09-21</t>
  </si>
  <si>
    <t xml:space="preserve"> 1976-03-15</t>
  </si>
  <si>
    <t xml:space="preserve"> 2008-09-30</t>
  </si>
  <si>
    <t>柳生明</t>
  </si>
  <si>
    <t>420683194403112112</t>
  </si>
  <si>
    <t xml:space="preserve"> 1944-03-10</t>
  </si>
  <si>
    <t xml:space="preserve"> 1971-09-1</t>
  </si>
  <si>
    <t xml:space="preserve"> 2004-3-1</t>
  </si>
  <si>
    <t>郭敬清</t>
  </si>
  <si>
    <t>420622195301202127</t>
  </si>
  <si>
    <t xml:space="preserve"> 1953-01-20</t>
  </si>
  <si>
    <t xml:space="preserve"> 1972-01-1</t>
  </si>
  <si>
    <t xml:space="preserve"> 2008-1-30</t>
  </si>
  <si>
    <t>董万荣</t>
  </si>
  <si>
    <t>420683195401022142</t>
  </si>
  <si>
    <t xml:space="preserve"> 1955-12-20</t>
  </si>
  <si>
    <t>付德华</t>
  </si>
  <si>
    <t>420683195209082110</t>
  </si>
  <si>
    <t xml:space="preserve"> 1952-09-08</t>
  </si>
  <si>
    <t xml:space="preserve"> 1977-03-1</t>
  </si>
  <si>
    <t xml:space="preserve"> 2012-09-1</t>
  </si>
  <si>
    <t>张明秀</t>
  </si>
  <si>
    <t>420683195904042129</t>
  </si>
  <si>
    <t xml:space="preserve"> 1952-04-04</t>
  </si>
  <si>
    <t xml:space="preserve"> 1975-03-1</t>
  </si>
  <si>
    <t xml:space="preserve"> 20107-4-1</t>
  </si>
  <si>
    <t>郭桂兰</t>
  </si>
  <si>
    <t>420622194308122141</t>
  </si>
  <si>
    <t xml:space="preserve"> 1944-08-11</t>
  </si>
  <si>
    <t>卫光明</t>
  </si>
  <si>
    <t>420622195204282137</t>
  </si>
  <si>
    <t xml:space="preserve"> 1952-04-28</t>
  </si>
  <si>
    <t xml:space="preserve"> 1971-03-15</t>
  </si>
  <si>
    <t xml:space="preserve"> 2012-04-30</t>
  </si>
  <si>
    <t>吕海金</t>
  </si>
  <si>
    <t>420683193709022115</t>
  </si>
  <si>
    <t xml:space="preserve"> 1941-09-02</t>
  </si>
  <si>
    <t xml:space="preserve"> 1964-07-1</t>
  </si>
  <si>
    <t xml:space="preserve"> 2001-09-1</t>
  </si>
  <si>
    <t>高春敏</t>
  </si>
  <si>
    <t>420683195810172125</t>
  </si>
  <si>
    <t xml:space="preserve"> 1980-08-15</t>
  </si>
  <si>
    <t xml:space="preserve"> 2013-10-30</t>
  </si>
  <si>
    <t>郭敬芳</t>
  </si>
  <si>
    <t>420622195204112111</t>
  </si>
  <si>
    <t xml:space="preserve"> 1953-04-11</t>
  </si>
  <si>
    <t xml:space="preserve"> 1979-03-15</t>
  </si>
  <si>
    <t xml:space="preserve"> 2013-04-30</t>
  </si>
  <si>
    <t>万仁富</t>
  </si>
  <si>
    <t>420683195106062133</t>
  </si>
  <si>
    <t xml:space="preserve"> 1952-06-06</t>
  </si>
  <si>
    <t xml:space="preserve"> 1974-09-1</t>
  </si>
  <si>
    <t>崔玉华</t>
  </si>
  <si>
    <t>420683196510092136</t>
  </si>
  <si>
    <t xml:space="preserve"> 1962-01-09</t>
  </si>
  <si>
    <t xml:space="preserve"> 1980-08-01</t>
  </si>
  <si>
    <t xml:space="preserve"> 2022-01-09</t>
  </si>
  <si>
    <t>郑立新</t>
  </si>
  <si>
    <t>420622196202052535</t>
  </si>
  <si>
    <t xml:space="preserve"> 1962-02-05</t>
  </si>
  <si>
    <t xml:space="preserve"> 1982-09-01</t>
  </si>
  <si>
    <t xml:space="preserve"> 2022-02-05</t>
  </si>
  <si>
    <t>龚建华</t>
  </si>
  <si>
    <t>429003196203172551</t>
  </si>
  <si>
    <t xml:space="preserve"> 1962-03-17</t>
  </si>
  <si>
    <t xml:space="preserve"> 2022-03-17</t>
  </si>
  <si>
    <t>贾本平</t>
  </si>
  <si>
    <t>420622196204202533</t>
  </si>
  <si>
    <t xml:space="preserve"> 1962-04-20</t>
  </si>
  <si>
    <t xml:space="preserve"> 2022-04-20</t>
  </si>
  <si>
    <t>王双林</t>
  </si>
  <si>
    <t>420622196208152510</t>
  </si>
  <si>
    <t xml:space="preserve"> 1962-05-15</t>
  </si>
  <si>
    <t xml:space="preserve"> 2022-05-15</t>
  </si>
  <si>
    <t>常聪友</t>
  </si>
  <si>
    <t>420683196210042110</t>
  </si>
  <si>
    <t xml:space="preserve"> 1962-10-04</t>
  </si>
  <si>
    <t xml:space="preserve"> 2022-10-04</t>
  </si>
  <si>
    <t>杨吉明</t>
  </si>
  <si>
    <t>420622196210042513</t>
  </si>
  <si>
    <t>杨长军</t>
  </si>
  <si>
    <t>420622196211022514</t>
  </si>
  <si>
    <t xml:space="preserve"> 1962-11-04</t>
  </si>
  <si>
    <t xml:space="preserve"> 1986-04-01</t>
  </si>
  <si>
    <t xml:space="preserve"> 2022-11-04</t>
  </si>
  <si>
    <t>刘道府</t>
  </si>
  <si>
    <t>420622196311152199</t>
  </si>
  <si>
    <t xml:space="preserve"> 1962-11-15</t>
  </si>
  <si>
    <t xml:space="preserve"> 2022-11-15</t>
  </si>
  <si>
    <t>张富新</t>
  </si>
  <si>
    <t>420683196212152110</t>
  </si>
  <si>
    <t xml:space="preserve"> 1962-12-15</t>
  </si>
  <si>
    <t>董锐</t>
  </si>
  <si>
    <t>420602196702031524</t>
  </si>
  <si>
    <t xml:space="preserve"> 1967-11-03</t>
  </si>
  <si>
    <t xml:space="preserve"> 1988-08-01</t>
  </si>
  <si>
    <t xml:space="preserve"> 2022-11-03</t>
  </si>
  <si>
    <t>王敏</t>
  </si>
  <si>
    <t>420683196510200061</t>
  </si>
  <si>
    <t xml:space="preserve"> 1965-03-05</t>
  </si>
  <si>
    <t xml:space="preserve"> 2020-10-20</t>
  </si>
  <si>
    <t>张照权</t>
  </si>
  <si>
    <t>420683195907192130</t>
  </si>
  <si>
    <t xml:space="preserve"> 1959-07-15</t>
  </si>
  <si>
    <t xml:space="preserve"> 2019-07-19</t>
  </si>
  <si>
    <t>夏世荣</t>
  </si>
  <si>
    <t>420606196510181048</t>
  </si>
  <si>
    <t xml:space="preserve"> 1965-03-03</t>
  </si>
  <si>
    <t xml:space="preserve"> 2020-10-18</t>
  </si>
  <si>
    <t>刘秀梅</t>
  </si>
  <si>
    <t>420622195311252523</t>
  </si>
  <si>
    <t xml:space="preserve"> 1953-11-25</t>
  </si>
  <si>
    <t>王光兵</t>
  </si>
  <si>
    <t>420622196005292513</t>
  </si>
  <si>
    <t xml:space="preserve"> 1965-05-29</t>
  </si>
  <si>
    <t xml:space="preserve"> 2015-05-29</t>
  </si>
  <si>
    <t>高文平</t>
  </si>
  <si>
    <t>420683196505252166</t>
  </si>
  <si>
    <t xml:space="preserve"> 1965-05-25</t>
  </si>
  <si>
    <t xml:space="preserve"> 2020-05-25</t>
  </si>
  <si>
    <t>高向阳</t>
  </si>
  <si>
    <t>420683196303202179</t>
  </si>
  <si>
    <t xml:space="preserve"> 1963-03-20</t>
  </si>
  <si>
    <t xml:space="preserve"> 1987-05-01</t>
  </si>
  <si>
    <t xml:space="preserve"> 2023-03-20</t>
  </si>
  <si>
    <t>高天喜</t>
  </si>
  <si>
    <t>42068319630304211X</t>
  </si>
  <si>
    <t xml:space="preserve"> 1963-04-04</t>
  </si>
  <si>
    <t xml:space="preserve"> 2023-04-19</t>
  </si>
  <si>
    <t>刘仁银</t>
  </si>
  <si>
    <t>420683196306202510</t>
  </si>
  <si>
    <t xml:space="preserve"> 1963-06-20</t>
  </si>
  <si>
    <t xml:space="preserve"> 2023-06-20</t>
  </si>
  <si>
    <t>杨立民</t>
  </si>
  <si>
    <t>420622197001202124</t>
  </si>
  <si>
    <t xml:space="preserve"> 1989-09-01</t>
  </si>
  <si>
    <t xml:space="preserve"> 2023-07-14</t>
  </si>
  <si>
    <t>王兴重</t>
  </si>
  <si>
    <t>420683196308122514</t>
  </si>
  <si>
    <t xml:space="preserve"> 1963-08-12</t>
  </si>
  <si>
    <t xml:space="preserve"> 2023-08-08</t>
  </si>
  <si>
    <t>李秀兰</t>
  </si>
  <si>
    <t>420683197007042160</t>
  </si>
  <si>
    <t xml:space="preserve"> 2023-08-01</t>
  </si>
  <si>
    <t>赵明昌</t>
  </si>
  <si>
    <t>420622196311222513</t>
  </si>
  <si>
    <t xml:space="preserve"> 1962-11-01</t>
  </si>
  <si>
    <t xml:space="preserve"> 2023-10-18</t>
  </si>
  <si>
    <t>刘付秀</t>
  </si>
  <si>
    <t>420683196808257044</t>
  </si>
  <si>
    <t xml:space="preserve"> 1985-12-01</t>
  </si>
  <si>
    <t xml:space="preserve"> 2023-10-01</t>
  </si>
  <si>
    <t>郭宪锐</t>
  </si>
  <si>
    <t>420622196209252513</t>
  </si>
  <si>
    <t xml:space="preserve"> 1963-09-01</t>
  </si>
  <si>
    <t xml:space="preserve"> 2023-09-01</t>
  </si>
  <si>
    <t>郝保群</t>
  </si>
  <si>
    <t>420683196302142119</t>
  </si>
  <si>
    <t xml:space="preserve"> 2023-02-01</t>
  </si>
  <si>
    <t>王春平</t>
  </si>
  <si>
    <t>420622196310052129</t>
  </si>
  <si>
    <t xml:space="preserve"> 1963-10-01</t>
  </si>
  <si>
    <t>余德兰</t>
  </si>
  <si>
    <t>420683196710092528</t>
  </si>
  <si>
    <t xml:space="preserve"> 1968-12-01</t>
  </si>
  <si>
    <t xml:space="preserve"> 1989-08-01</t>
  </si>
  <si>
    <t xml:space="preserve"> 2023-12-06</t>
  </si>
  <si>
    <t>金毅</t>
  </si>
  <si>
    <t>420683196401252516</t>
  </si>
  <si>
    <t xml:space="preserve"> 1964-01-25</t>
  </si>
  <si>
    <t xml:space="preserve"> 1986-07-01</t>
  </si>
  <si>
    <t xml:space="preserve"> 2024-01-25</t>
  </si>
  <si>
    <t>郭贵勤</t>
  </si>
  <si>
    <t>42068319690105214X</t>
  </si>
  <si>
    <t xml:space="preserve"> 1969-01-05</t>
  </si>
  <si>
    <t xml:space="preserve"> 1992-08-01</t>
  </si>
  <si>
    <t xml:space="preserve"> 2024-01-05</t>
  </si>
  <si>
    <t>高桂华</t>
  </si>
  <si>
    <t>420683196408202140</t>
  </si>
  <si>
    <t xml:space="preserve"> 1964-02-20</t>
  </si>
  <si>
    <t xml:space="preserve"> 2024-02-01</t>
  </si>
  <si>
    <t>高天全</t>
  </si>
  <si>
    <t>420622196404052517</t>
  </si>
  <si>
    <t xml:space="preserve"> 1964-04-05</t>
  </si>
  <si>
    <t xml:space="preserve"> 2024-04-01</t>
  </si>
  <si>
    <t>任英</t>
  </si>
  <si>
    <t>420622197007101869</t>
  </si>
  <si>
    <t xml:space="preserve"> 1969-06-10</t>
  </si>
  <si>
    <t xml:space="preserve"> 1988-07-01</t>
  </si>
  <si>
    <t xml:space="preserve"> 2024-06-11</t>
  </si>
  <si>
    <t>程金生</t>
  </si>
  <si>
    <t>420622196405142573</t>
  </si>
  <si>
    <t xml:space="preserve"> 1964-05-14</t>
  </si>
  <si>
    <t xml:space="preserve"> 2024-05-15</t>
  </si>
  <si>
    <t>李忠林</t>
  </si>
  <si>
    <t>420683196411282110</t>
  </si>
  <si>
    <t xml:space="preserve"> 1964-07-28</t>
  </si>
  <si>
    <t xml:space="preserve"> 1987-03-01</t>
  </si>
  <si>
    <t xml:space="preserve"> 2024-07-28</t>
  </si>
  <si>
    <t>陈红</t>
  </si>
  <si>
    <t>429003196906254940</t>
  </si>
  <si>
    <t xml:space="preserve"> 1969-06-25</t>
  </si>
  <si>
    <t xml:space="preserve"> 2024-06-01</t>
  </si>
  <si>
    <t>李琦</t>
  </si>
  <si>
    <t>420683196410152111</t>
  </si>
  <si>
    <t xml:space="preserve"> 1964-09-15</t>
  </si>
  <si>
    <t xml:space="preserve"> 2024-10-01</t>
  </si>
  <si>
    <t>张金菊</t>
  </si>
  <si>
    <t>420683196909042608</t>
  </si>
  <si>
    <t xml:space="preserve"> 1969-09-04</t>
  </si>
  <si>
    <t>申桂清</t>
  </si>
  <si>
    <t>420683196710202563</t>
  </si>
  <si>
    <t xml:space="preserve"> 1969-10-20</t>
  </si>
  <si>
    <t xml:space="preserve"> 1990-08-01</t>
  </si>
  <si>
    <t>周喜益</t>
  </si>
  <si>
    <t>420622196505252112</t>
  </si>
  <si>
    <t xml:space="preserve"> 1964-05-25</t>
  </si>
  <si>
    <t xml:space="preserve"> 1985-10-01</t>
  </si>
  <si>
    <t xml:space="preserve"> 2024-05-01</t>
  </si>
  <si>
    <t>王琴</t>
  </si>
  <si>
    <t>420683197011012562</t>
  </si>
  <si>
    <t xml:space="preserve"> 1969-11-01</t>
  </si>
  <si>
    <t xml:space="preserve"> 1992-10-01</t>
  </si>
  <si>
    <t xml:space="preserve"> 2024-11-01</t>
  </si>
  <si>
    <t>唐书国</t>
  </si>
  <si>
    <t>420622196308142512</t>
  </si>
  <si>
    <t xml:space="preserve"> 1963-08-14</t>
  </si>
  <si>
    <t xml:space="preserve"> 2024-12-24</t>
  </si>
  <si>
    <t>技工三级</t>
  </si>
  <si>
    <t>姜咏梅</t>
  </si>
  <si>
    <t>420683197002052343</t>
  </si>
  <si>
    <t xml:space="preserve"> 1970-03-05</t>
  </si>
  <si>
    <t xml:space="preserve"> 1991-08-01</t>
  </si>
  <si>
    <t xml:space="preserve"> 2025-04-07</t>
  </si>
  <si>
    <t>王大敏</t>
  </si>
  <si>
    <t>420683196503052128</t>
  </si>
  <si>
    <t>李其云</t>
  </si>
  <si>
    <t>420683196607082129</t>
  </si>
  <si>
    <t xml:space="preserve"> 2025-04-17</t>
  </si>
  <si>
    <t>李书平</t>
  </si>
  <si>
    <t>420683196504032137</t>
  </si>
  <si>
    <t xml:space="preserve"> 1965-04-03</t>
  </si>
  <si>
    <t xml:space="preserve"> 2025-05-03</t>
  </si>
  <si>
    <t>孙春雨</t>
  </si>
  <si>
    <t>420683196504082177</t>
  </si>
  <si>
    <t xml:space="preserve"> 1965-04-08</t>
  </si>
  <si>
    <t xml:space="preserve"> 1990-09-01</t>
  </si>
  <si>
    <t xml:space="preserve"> 2025-05-08</t>
  </si>
  <si>
    <t>水向东</t>
  </si>
  <si>
    <t>420622196604232520</t>
  </si>
  <si>
    <t xml:space="preserve"> 1965-04-23</t>
  </si>
  <si>
    <t xml:space="preserve"> 2025-05-23</t>
  </si>
  <si>
    <t>姜有永</t>
  </si>
  <si>
    <t>420622196506072535</t>
  </si>
  <si>
    <t xml:space="preserve"> 1965-06-07</t>
  </si>
  <si>
    <t xml:space="preserve"> 2025-08-07</t>
  </si>
  <si>
    <t>杨宜群</t>
  </si>
  <si>
    <t>420683196507020051</t>
  </si>
  <si>
    <t xml:space="preserve"> 1965-07-02</t>
  </si>
  <si>
    <t xml:space="preserve"> 2025-09-02</t>
  </si>
  <si>
    <t>杨胜锋</t>
  </si>
  <si>
    <t>420683196509282530</t>
  </si>
  <si>
    <t xml:space="preserve"> 1965-08-28</t>
  </si>
  <si>
    <t xml:space="preserve"> 2025-10-01</t>
  </si>
  <si>
    <t>高级教师</t>
  </si>
  <si>
    <t>郭春生</t>
  </si>
  <si>
    <t>420683196603172119</t>
  </si>
  <si>
    <t xml:space="preserve"> 1965-04-17</t>
  </si>
  <si>
    <t xml:space="preserve"> 983-06-01</t>
  </si>
  <si>
    <t xml:space="preserve"> 2025-05-17</t>
  </si>
  <si>
    <t>王德</t>
  </si>
  <si>
    <t>420622196509062113</t>
  </si>
  <si>
    <t xml:space="preserve"> 1965-09-06</t>
  </si>
  <si>
    <t xml:space="preserve"> 2025-12-01</t>
  </si>
  <si>
    <t>姜辉</t>
  </si>
  <si>
    <t>420622196508152555</t>
  </si>
  <si>
    <t xml:space="preserve"> 1965-09-11</t>
  </si>
  <si>
    <t>王军峰</t>
  </si>
  <si>
    <t>420683196909152209</t>
  </si>
  <si>
    <t xml:space="preserve"> 1970-10-15</t>
  </si>
  <si>
    <t xml:space="preserve"> 2026-01-01</t>
  </si>
  <si>
    <t>秦焕平</t>
  </si>
  <si>
    <t>420683196610192521</t>
  </si>
  <si>
    <t xml:space="preserve"> 1966-10-19</t>
  </si>
  <si>
    <t xml:space="preserve"> 2026-01-19</t>
  </si>
  <si>
    <t>王秀凤</t>
  </si>
  <si>
    <t>420622196510092141</t>
  </si>
  <si>
    <t xml:space="preserve"> 1965-10-09</t>
  </si>
  <si>
    <t xml:space="preserve"> 1983-02-01</t>
  </si>
  <si>
    <t xml:space="preserve"> 2026-01-09</t>
  </si>
  <si>
    <t>熊堂超</t>
  </si>
  <si>
    <t>420622196512112513</t>
  </si>
  <si>
    <t xml:space="preserve"> 1965-12-11</t>
  </si>
  <si>
    <t xml:space="preserve"> 1990-12-01</t>
  </si>
  <si>
    <t xml:space="preserve"> 2026-03-27</t>
  </si>
  <si>
    <t>技工五级</t>
  </si>
  <si>
    <t>杨宜俊</t>
  </si>
  <si>
    <t>420683196512270039</t>
  </si>
  <si>
    <t xml:space="preserve"> 1965-12-27</t>
  </si>
  <si>
    <t xml:space="preserve"> 2026-03-11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</si>
</sst>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8"/>
      <name val="Calibri"/>
      <charset val="134"/>
    </font>
    <font>
      <sz val="11"/>
      <color indexed="8"/>
      <name val="Calibri"/>
      <charset val="0"/>
    </font>
    <font>
      <sz val="11"/>
      <color rgb="FF00000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/>
    <xf numFmtId="0" fontId="3" fillId="0" borderId="0" xfId="0" applyFont="1" applyFill="1" applyBorder="1" applyAlignment="1" applyProtection="1"/>
    <xf numFmtId="14" fontId="0" fillId="0" borderId="0" xfId="0" applyNumberFormat="1">
      <alignment vertical="center"/>
    </xf>
    <xf numFmtId="0" fontId="4" fillId="0" borderId="0" xfId="0" applyFont="1" applyFill="1" applyBorder="1" applyAlignment="1" applyProtection="1"/>
    <xf numFmtId="0" fontId="3" fillId="0" borderId="0" xfId="0" applyFont="1" applyFill="1" applyBorder="1" applyAlignment="1" applyProtection="1"/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8"/>
  <sheetViews>
    <sheetView tabSelected="1" workbookViewId="0">
      <pane ySplit="1" topLeftCell="A11" activePane="bottomLeft" state="frozen"/>
      <selection/>
      <selection pane="bottomLeft" activeCell="C33" sqref="C33"/>
    </sheetView>
  </sheetViews>
  <sheetFormatPr defaultColWidth="8.72727272727273" defaultRowHeight="14"/>
  <cols>
    <col min="1" max="1" width="5.54545454545455" customWidth="1"/>
    <col min="2" max="2" width="9.18181818181818" customWidth="1"/>
    <col min="3" max="3" width="20.8181818181818" customWidth="1"/>
    <col min="4" max="4" width="12.9090909090909" customWidth="1"/>
    <col min="5" max="5" width="14" customWidth="1"/>
    <col min="6" max="6" width="12.9090909090909" customWidth="1"/>
    <col min="7" max="7" width="17.2727272727273" customWidth="1"/>
    <col min="8" max="8" width="11.8181818181818" customWidth="1"/>
    <col min="9" max="9" width="9.54545454545454" customWidth="1"/>
    <col min="10" max="10" width="18.5454545454545" customWidth="1"/>
    <col min="11" max="11" width="8.18181818181818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14.5" spans="1:11">
      <c r="A2">
        <v>1</v>
      </c>
      <c r="B2" s="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1879</v>
      </c>
      <c r="I2">
        <v>1906</v>
      </c>
      <c r="J2">
        <f>SUM(H2:I2)</f>
        <v>3785</v>
      </c>
    </row>
    <row r="3" ht="14.5" spans="1:11">
      <c r="A3">
        <v>2</v>
      </c>
      <c r="B3" s="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16</v>
      </c>
      <c r="H3">
        <v>2006.1</v>
      </c>
      <c r="I3">
        <v>1589</v>
      </c>
      <c r="J3">
        <f t="shared" ref="J3:J66" si="0">SUM(H3:I3)</f>
        <v>3595.1</v>
      </c>
    </row>
    <row r="4" ht="14.5" spans="1:11">
      <c r="A4">
        <v>3</v>
      </c>
      <c r="B4" s="3" t="s">
        <v>22</v>
      </c>
      <c r="C4" t="s">
        <v>23</v>
      </c>
      <c r="D4" s="4">
        <v>13736</v>
      </c>
      <c r="E4" t="s">
        <v>24</v>
      </c>
      <c r="F4" s="4">
        <v>35643</v>
      </c>
      <c r="G4" t="s">
        <v>16</v>
      </c>
      <c r="H4">
        <v>1904</v>
      </c>
      <c r="I4">
        <v>1589</v>
      </c>
      <c r="J4">
        <f t="shared" si="0"/>
        <v>3493</v>
      </c>
    </row>
    <row r="5" ht="14.5" spans="1:11">
      <c r="A5">
        <v>4</v>
      </c>
      <c r="B5" s="3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16</v>
      </c>
      <c r="H5">
        <v>2007</v>
      </c>
      <c r="I5">
        <v>1589</v>
      </c>
      <c r="J5">
        <f t="shared" si="0"/>
        <v>3596</v>
      </c>
    </row>
    <row r="6" ht="14.5" spans="1:11">
      <c r="A6">
        <v>5</v>
      </c>
      <c r="B6" s="3" t="s">
        <v>30</v>
      </c>
      <c r="C6" t="s">
        <v>31</v>
      </c>
      <c r="D6" t="s">
        <v>32</v>
      </c>
      <c r="E6" t="s">
        <v>33</v>
      </c>
      <c r="F6" s="4">
        <v>42795</v>
      </c>
      <c r="G6" t="s">
        <v>16</v>
      </c>
      <c r="H6">
        <v>1686.96</v>
      </c>
      <c r="I6">
        <v>2010.63</v>
      </c>
      <c r="J6">
        <f t="shared" si="0"/>
        <v>3697.59</v>
      </c>
    </row>
    <row r="7" ht="14.5" spans="1:11">
      <c r="A7">
        <v>6</v>
      </c>
      <c r="B7" s="3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16</v>
      </c>
      <c r="H7">
        <v>1280.07</v>
      </c>
      <c r="I7">
        <v>1809.28</v>
      </c>
      <c r="J7">
        <f t="shared" si="0"/>
        <v>3089.35</v>
      </c>
    </row>
    <row r="8" ht="14.5" spans="1:11">
      <c r="A8">
        <v>7</v>
      </c>
      <c r="B8" s="3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16</v>
      </c>
      <c r="H8">
        <v>1706</v>
      </c>
      <c r="I8">
        <v>1589</v>
      </c>
      <c r="J8">
        <f t="shared" si="0"/>
        <v>3295</v>
      </c>
    </row>
    <row r="9" ht="14.5" spans="1:11">
      <c r="A9">
        <v>8</v>
      </c>
      <c r="B9" s="3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16</v>
      </c>
      <c r="H9">
        <v>1970</v>
      </c>
      <c r="I9">
        <v>1589</v>
      </c>
      <c r="J9">
        <f t="shared" si="0"/>
        <v>3559</v>
      </c>
    </row>
    <row r="10" ht="14.5" spans="1:11">
      <c r="A10">
        <v>9</v>
      </c>
      <c r="B10" s="3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16</v>
      </c>
      <c r="H10">
        <v>1573</v>
      </c>
      <c r="I10">
        <v>1589</v>
      </c>
      <c r="J10">
        <f t="shared" si="0"/>
        <v>3162</v>
      </c>
    </row>
    <row r="11" ht="14.5" spans="1:11">
      <c r="A11">
        <v>10</v>
      </c>
      <c r="B11" s="3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16</v>
      </c>
      <c r="H11">
        <v>1568.16</v>
      </c>
      <c r="I11">
        <v>2005.55</v>
      </c>
      <c r="J11">
        <f t="shared" si="0"/>
        <v>3573.71</v>
      </c>
    </row>
    <row r="12" ht="14.5" spans="1:11">
      <c r="A12">
        <v>11</v>
      </c>
      <c r="B12" s="3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16</v>
      </c>
      <c r="H12">
        <v>1464.21</v>
      </c>
      <c r="I12">
        <v>2001.11</v>
      </c>
      <c r="J12">
        <f t="shared" si="0"/>
        <v>3465.32</v>
      </c>
    </row>
    <row r="13" ht="14.5" spans="1:11">
      <c r="A13">
        <v>12</v>
      </c>
      <c r="B13" s="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16</v>
      </c>
      <c r="H13">
        <v>1464.21</v>
      </c>
      <c r="I13">
        <v>2001.11</v>
      </c>
      <c r="J13">
        <f t="shared" si="0"/>
        <v>3465.32</v>
      </c>
    </row>
    <row r="14" ht="14.5" spans="1:11">
      <c r="A14">
        <v>13</v>
      </c>
      <c r="B14" s="3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16</v>
      </c>
      <c r="H14">
        <v>2007</v>
      </c>
      <c r="I14">
        <v>1589</v>
      </c>
      <c r="J14">
        <f t="shared" si="0"/>
        <v>3596</v>
      </c>
    </row>
    <row r="15" ht="14.5" spans="1:11">
      <c r="A15">
        <v>14</v>
      </c>
      <c r="B15" s="3" t="s">
        <v>74</v>
      </c>
      <c r="C15" t="s">
        <v>75</v>
      </c>
      <c r="D15" t="s">
        <v>76</v>
      </c>
      <c r="E15" t="s">
        <v>77</v>
      </c>
      <c r="F15" s="4">
        <v>43374</v>
      </c>
      <c r="G15" t="s">
        <v>78</v>
      </c>
      <c r="H15">
        <v>1894.86</v>
      </c>
      <c r="I15">
        <v>2372.25</v>
      </c>
      <c r="J15">
        <f t="shared" si="0"/>
        <v>4267.11</v>
      </c>
    </row>
    <row r="16" ht="14.5" spans="1:11">
      <c r="A16">
        <v>15</v>
      </c>
      <c r="B16" s="3" t="s">
        <v>79</v>
      </c>
      <c r="C16" t="s">
        <v>80</v>
      </c>
      <c r="D16" t="s">
        <v>81</v>
      </c>
      <c r="E16" t="s">
        <v>82</v>
      </c>
      <c r="F16" t="s">
        <v>83</v>
      </c>
      <c r="G16" t="s">
        <v>78</v>
      </c>
      <c r="H16">
        <v>1533.51</v>
      </c>
      <c r="I16">
        <v>2004.07</v>
      </c>
      <c r="J16">
        <f t="shared" si="0"/>
        <v>3537.58</v>
      </c>
    </row>
    <row r="17" ht="14.5" spans="1:11">
      <c r="A17">
        <v>16</v>
      </c>
      <c r="B17" s="3" t="s">
        <v>84</v>
      </c>
      <c r="C17" t="s">
        <v>85</v>
      </c>
      <c r="D17" t="s">
        <v>86</v>
      </c>
      <c r="E17" t="s">
        <v>87</v>
      </c>
      <c r="F17" t="s">
        <v>88</v>
      </c>
      <c r="H17">
        <v>1464.21</v>
      </c>
      <c r="I17">
        <v>2001.11</v>
      </c>
      <c r="J17">
        <f t="shared" si="0"/>
        <v>3465.32</v>
      </c>
    </row>
    <row r="18" ht="14.5" spans="1:11">
      <c r="A18">
        <v>17</v>
      </c>
      <c r="B18" s="3" t="s">
        <v>89</v>
      </c>
      <c r="C18" t="s">
        <v>90</v>
      </c>
      <c r="D18" t="s">
        <v>91</v>
      </c>
      <c r="E18" t="s">
        <v>92</v>
      </c>
      <c r="F18" t="s">
        <v>93</v>
      </c>
      <c r="H18">
        <v>1647.36</v>
      </c>
      <c r="I18">
        <v>2008.94</v>
      </c>
      <c r="J18">
        <f t="shared" si="0"/>
        <v>3656.3</v>
      </c>
    </row>
    <row r="19" ht="14.5" spans="1:11">
      <c r="A19">
        <v>18</v>
      </c>
      <c r="B19" s="3" t="s">
        <v>94</v>
      </c>
      <c r="C19" t="s">
        <v>95</v>
      </c>
      <c r="D19" t="s">
        <v>96</v>
      </c>
      <c r="E19" t="s">
        <v>97</v>
      </c>
      <c r="F19" t="s">
        <v>98</v>
      </c>
      <c r="H19">
        <v>1533.51</v>
      </c>
      <c r="I19">
        <v>2004.07</v>
      </c>
      <c r="J19">
        <f t="shared" si="0"/>
        <v>3537.58</v>
      </c>
    </row>
    <row r="20" ht="14.5" spans="1:11">
      <c r="A20">
        <v>19</v>
      </c>
      <c r="B20" s="3" t="s">
        <v>99</v>
      </c>
      <c r="C20" t="s">
        <v>100</v>
      </c>
      <c r="D20" t="s">
        <v>101</v>
      </c>
      <c r="E20" t="s">
        <v>97</v>
      </c>
      <c r="F20" t="s">
        <v>93</v>
      </c>
      <c r="H20">
        <v>1568.16</v>
      </c>
      <c r="I20">
        <v>2005.55</v>
      </c>
      <c r="J20">
        <f t="shared" si="0"/>
        <v>3573.71</v>
      </c>
    </row>
    <row r="21" spans="1:11">
      <c r="A21">
        <v>20</v>
      </c>
      <c r="B21" s="5" t="s">
        <v>102</v>
      </c>
      <c r="C21" t="s">
        <v>103</v>
      </c>
      <c r="D21" t="s">
        <v>104</v>
      </c>
      <c r="E21" t="s">
        <v>105</v>
      </c>
      <c r="F21" t="s">
        <v>106</v>
      </c>
      <c r="G21" t="s">
        <v>16</v>
      </c>
      <c r="H21">
        <v>2132</v>
      </c>
      <c r="I21">
        <v>1589</v>
      </c>
      <c r="J21">
        <f t="shared" si="0"/>
        <v>3721</v>
      </c>
    </row>
    <row r="22" ht="14.5" spans="1:11">
      <c r="A22">
        <v>21</v>
      </c>
      <c r="B22" s="3" t="s">
        <v>107</v>
      </c>
      <c r="C22" t="s">
        <v>108</v>
      </c>
      <c r="D22" t="s">
        <v>109</v>
      </c>
      <c r="E22" t="s">
        <v>110</v>
      </c>
      <c r="F22" t="s">
        <v>111</v>
      </c>
      <c r="G22" t="s">
        <v>16</v>
      </c>
      <c r="H22">
        <v>2007</v>
      </c>
      <c r="I22">
        <v>1589</v>
      </c>
      <c r="J22">
        <f t="shared" si="0"/>
        <v>3596</v>
      </c>
    </row>
    <row r="23" ht="14.5" spans="1:11">
      <c r="A23">
        <v>22</v>
      </c>
      <c r="B23" s="3" t="s">
        <v>112</v>
      </c>
      <c r="C23" t="s">
        <v>113</v>
      </c>
      <c r="D23" t="s">
        <v>114</v>
      </c>
      <c r="E23" t="s">
        <v>115</v>
      </c>
      <c r="F23" t="s">
        <v>116</v>
      </c>
      <c r="G23" t="s">
        <v>16</v>
      </c>
      <c r="H23">
        <v>1643.6</v>
      </c>
      <c r="I23">
        <v>1589</v>
      </c>
      <c r="J23">
        <f t="shared" si="0"/>
        <v>3232.6</v>
      </c>
    </row>
    <row r="24" ht="14.5" spans="1:11">
      <c r="A24">
        <v>23</v>
      </c>
      <c r="B24" s="3" t="s">
        <v>117</v>
      </c>
      <c r="C24" t="s">
        <v>118</v>
      </c>
      <c r="D24" t="s">
        <v>119</v>
      </c>
      <c r="E24" t="s">
        <v>120</v>
      </c>
      <c r="F24" t="s">
        <v>121</v>
      </c>
      <c r="G24" t="s">
        <v>16</v>
      </c>
      <c r="H24">
        <v>1456</v>
      </c>
      <c r="I24">
        <v>1589</v>
      </c>
      <c r="J24">
        <f t="shared" si="0"/>
        <v>3045</v>
      </c>
    </row>
    <row r="25" spans="1:11">
      <c r="A25">
        <v>24</v>
      </c>
      <c r="B25" s="5" t="s">
        <v>122</v>
      </c>
      <c r="C25" t="s">
        <v>123</v>
      </c>
      <c r="D25" t="s">
        <v>124</v>
      </c>
      <c r="E25" t="s">
        <v>125</v>
      </c>
      <c r="F25" t="s">
        <v>111</v>
      </c>
      <c r="G25" t="s">
        <v>16</v>
      </c>
      <c r="H25">
        <v>1970</v>
      </c>
      <c r="I25">
        <v>1589</v>
      </c>
      <c r="J25">
        <f t="shared" si="0"/>
        <v>3559</v>
      </c>
    </row>
    <row r="26" ht="14.5" spans="1:11">
      <c r="A26">
        <v>25</v>
      </c>
      <c r="B26" s="3" t="s">
        <v>126</v>
      </c>
      <c r="C26" t="s">
        <v>127</v>
      </c>
      <c r="D26" t="s">
        <v>128</v>
      </c>
      <c r="E26" t="s">
        <v>129</v>
      </c>
      <c r="F26" t="s">
        <v>130</v>
      </c>
      <c r="G26" t="s">
        <v>16</v>
      </c>
      <c r="H26">
        <v>1934.5</v>
      </c>
      <c r="I26">
        <v>1589</v>
      </c>
      <c r="J26">
        <f t="shared" si="0"/>
        <v>3523.5</v>
      </c>
    </row>
    <row r="27" ht="14.5" spans="1:11">
      <c r="A27">
        <v>26</v>
      </c>
      <c r="B27" s="3" t="s">
        <v>131</v>
      </c>
      <c r="C27" t="s">
        <v>132</v>
      </c>
      <c r="D27" t="s">
        <v>133</v>
      </c>
      <c r="E27" s="4">
        <v>23437</v>
      </c>
      <c r="F27" s="4">
        <v>36678</v>
      </c>
      <c r="G27" t="s">
        <v>16</v>
      </c>
      <c r="H27">
        <v>1468.5</v>
      </c>
      <c r="I27">
        <v>1589</v>
      </c>
      <c r="J27">
        <f t="shared" si="0"/>
        <v>3057.5</v>
      </c>
    </row>
    <row r="28" ht="14.5" spans="1:11">
      <c r="A28">
        <v>27</v>
      </c>
      <c r="B28" s="3" t="s">
        <v>134</v>
      </c>
      <c r="C28" t="s">
        <v>135</v>
      </c>
      <c r="D28" t="s">
        <v>136</v>
      </c>
      <c r="E28" t="s">
        <v>92</v>
      </c>
      <c r="F28" t="s">
        <v>137</v>
      </c>
      <c r="G28" t="s">
        <v>16</v>
      </c>
      <c r="H28">
        <v>1357.8</v>
      </c>
      <c r="I28">
        <v>1589</v>
      </c>
      <c r="J28">
        <f t="shared" si="0"/>
        <v>2946.8</v>
      </c>
    </row>
    <row r="29" spans="1:11">
      <c r="A29">
        <v>28</v>
      </c>
      <c r="B29" s="5" t="s">
        <v>138</v>
      </c>
      <c r="C29" t="s">
        <v>139</v>
      </c>
      <c r="D29" t="s">
        <v>140</v>
      </c>
      <c r="E29" t="s">
        <v>141</v>
      </c>
      <c r="F29" t="s">
        <v>142</v>
      </c>
      <c r="G29" t="s">
        <v>16</v>
      </c>
      <c r="H29">
        <v>1573</v>
      </c>
      <c r="I29">
        <v>1589</v>
      </c>
      <c r="J29">
        <f t="shared" si="0"/>
        <v>3162</v>
      </c>
      <c r="K29" t="s">
        <v>143</v>
      </c>
    </row>
    <row r="30" ht="14.5" spans="1:11">
      <c r="A30">
        <v>29</v>
      </c>
      <c r="B30" s="3" t="s">
        <v>144</v>
      </c>
      <c r="C30" t="s">
        <v>145</v>
      </c>
      <c r="D30" t="s">
        <v>146</v>
      </c>
      <c r="E30" t="s">
        <v>147</v>
      </c>
      <c r="F30" t="s">
        <v>148</v>
      </c>
      <c r="G30" t="s">
        <v>16</v>
      </c>
      <c r="H30">
        <v>1531.5</v>
      </c>
      <c r="I30">
        <v>1589</v>
      </c>
      <c r="J30">
        <f t="shared" si="0"/>
        <v>3120.5</v>
      </c>
    </row>
    <row r="31" ht="14.5" spans="1:11">
      <c r="A31">
        <v>30</v>
      </c>
      <c r="B31" s="3" t="s">
        <v>149</v>
      </c>
      <c r="C31" t="s">
        <v>150</v>
      </c>
      <c r="D31" t="s">
        <v>151</v>
      </c>
      <c r="E31" t="s">
        <v>152</v>
      </c>
      <c r="F31" s="4">
        <v>44593</v>
      </c>
      <c r="G31" t="s">
        <v>153</v>
      </c>
      <c r="H31">
        <v>1293.3</v>
      </c>
      <c r="I31">
        <v>1427</v>
      </c>
      <c r="J31">
        <f t="shared" si="0"/>
        <v>2720.3</v>
      </c>
    </row>
    <row r="32" ht="14.5" spans="1:11">
      <c r="A32">
        <v>31</v>
      </c>
      <c r="B32" s="3" t="s">
        <v>154</v>
      </c>
      <c r="C32" t="s">
        <v>155</v>
      </c>
      <c r="D32" t="s">
        <v>156</v>
      </c>
      <c r="E32" s="4">
        <v>28795</v>
      </c>
      <c r="F32" s="4">
        <v>38261</v>
      </c>
      <c r="G32" t="s">
        <v>16</v>
      </c>
      <c r="H32">
        <v>1396.1</v>
      </c>
      <c r="I32">
        <v>1589</v>
      </c>
      <c r="J32">
        <f t="shared" si="0"/>
        <v>2985.1</v>
      </c>
    </row>
    <row r="33" ht="14.5" spans="1:10">
      <c r="A33">
        <v>32</v>
      </c>
      <c r="B33" s="3" t="s">
        <v>157</v>
      </c>
      <c r="C33" t="s">
        <v>158</v>
      </c>
      <c r="D33" t="s">
        <v>159</v>
      </c>
      <c r="E33" t="s">
        <v>160</v>
      </c>
      <c r="F33" s="4">
        <v>39387</v>
      </c>
      <c r="G33" t="s">
        <v>16</v>
      </c>
      <c r="H33">
        <v>2090.5</v>
      </c>
      <c r="I33">
        <v>1589</v>
      </c>
      <c r="J33">
        <f t="shared" si="0"/>
        <v>3679.5</v>
      </c>
    </row>
    <row r="34" ht="14.5" spans="1:10">
      <c r="A34">
        <v>33</v>
      </c>
      <c r="B34" s="3" t="s">
        <v>161</v>
      </c>
      <c r="C34" t="s">
        <v>162</v>
      </c>
      <c r="D34" t="s">
        <v>163</v>
      </c>
      <c r="E34" t="s">
        <v>164</v>
      </c>
      <c r="F34" t="s">
        <v>165</v>
      </c>
      <c r="G34" t="s">
        <v>16</v>
      </c>
      <c r="H34">
        <v>1970.5</v>
      </c>
      <c r="I34">
        <v>1589</v>
      </c>
      <c r="J34">
        <f t="shared" si="0"/>
        <v>3559.5</v>
      </c>
    </row>
    <row r="35" ht="14.5" spans="1:10">
      <c r="A35">
        <v>34</v>
      </c>
      <c r="B35" s="3" t="s">
        <v>166</v>
      </c>
      <c r="C35" t="s">
        <v>167</v>
      </c>
      <c r="D35" t="s">
        <v>168</v>
      </c>
      <c r="E35" t="s">
        <v>169</v>
      </c>
      <c r="F35" s="4">
        <v>39539</v>
      </c>
      <c r="G35" t="s">
        <v>16</v>
      </c>
      <c r="H35">
        <v>1782.3</v>
      </c>
      <c r="I35">
        <v>1589</v>
      </c>
      <c r="J35">
        <f t="shared" si="0"/>
        <v>3371.3</v>
      </c>
    </row>
    <row r="36" ht="14.5" spans="1:10">
      <c r="A36">
        <v>35</v>
      </c>
      <c r="B36" s="3" t="s">
        <v>170</v>
      </c>
      <c r="C36" t="s">
        <v>171</v>
      </c>
      <c r="D36" t="s">
        <v>172</v>
      </c>
      <c r="E36" t="s">
        <v>20</v>
      </c>
      <c r="F36" t="s">
        <v>173</v>
      </c>
      <c r="G36" t="s">
        <v>16</v>
      </c>
      <c r="H36">
        <v>1969.1</v>
      </c>
      <c r="I36">
        <v>1589</v>
      </c>
      <c r="J36">
        <f t="shared" si="0"/>
        <v>3558.1</v>
      </c>
    </row>
    <row r="37" ht="14.5" spans="1:10">
      <c r="A37">
        <v>36</v>
      </c>
      <c r="B37" s="3" t="s">
        <v>174</v>
      </c>
      <c r="C37" t="s">
        <v>175</v>
      </c>
      <c r="D37" t="s">
        <v>176</v>
      </c>
      <c r="E37" t="s">
        <v>177</v>
      </c>
      <c r="F37" t="s">
        <v>178</v>
      </c>
      <c r="G37" t="s">
        <v>16</v>
      </c>
      <c r="H37">
        <v>1969.1</v>
      </c>
      <c r="I37">
        <v>1589</v>
      </c>
      <c r="J37">
        <f t="shared" si="0"/>
        <v>3558.1</v>
      </c>
    </row>
    <row r="38" ht="14.5" spans="1:10">
      <c r="A38">
        <v>37</v>
      </c>
      <c r="B38" s="3" t="s">
        <v>179</v>
      </c>
      <c r="C38" t="s">
        <v>180</v>
      </c>
      <c r="D38" t="s">
        <v>181</v>
      </c>
      <c r="E38" t="s">
        <v>182</v>
      </c>
      <c r="F38" s="4">
        <v>39539</v>
      </c>
      <c r="G38" t="s">
        <v>16</v>
      </c>
      <c r="H38">
        <v>1969</v>
      </c>
      <c r="I38">
        <v>1589</v>
      </c>
      <c r="J38">
        <f t="shared" si="0"/>
        <v>3558</v>
      </c>
    </row>
    <row r="39" ht="14.5" spans="1:10">
      <c r="A39">
        <v>38</v>
      </c>
      <c r="B39" s="3" t="s">
        <v>183</v>
      </c>
      <c r="C39" t="s">
        <v>184</v>
      </c>
      <c r="D39" t="s">
        <v>185</v>
      </c>
      <c r="E39" t="s">
        <v>186</v>
      </c>
      <c r="F39" t="s">
        <v>187</v>
      </c>
      <c r="G39" t="s">
        <v>16</v>
      </c>
      <c r="H39">
        <v>1784</v>
      </c>
      <c r="I39">
        <v>1589</v>
      </c>
      <c r="J39">
        <f t="shared" si="0"/>
        <v>3373</v>
      </c>
    </row>
    <row r="40" ht="14.5" spans="1:10">
      <c r="A40">
        <v>39</v>
      </c>
      <c r="B40" s="3" t="s">
        <v>188</v>
      </c>
      <c r="C40" t="s">
        <v>189</v>
      </c>
      <c r="D40" t="s">
        <v>190</v>
      </c>
      <c r="E40" t="s">
        <v>191</v>
      </c>
      <c r="F40" t="s">
        <v>73</v>
      </c>
      <c r="G40" t="s">
        <v>16</v>
      </c>
      <c r="H40">
        <v>1917</v>
      </c>
      <c r="I40">
        <v>1589</v>
      </c>
      <c r="J40">
        <f t="shared" si="0"/>
        <v>3506</v>
      </c>
    </row>
    <row r="41" ht="14.5" spans="1:10">
      <c r="A41">
        <v>40</v>
      </c>
      <c r="B41" s="3" t="s">
        <v>192</v>
      </c>
      <c r="C41" t="s">
        <v>193</v>
      </c>
      <c r="D41" s="4">
        <v>18607</v>
      </c>
      <c r="E41" s="4">
        <v>27638</v>
      </c>
      <c r="F41" s="4">
        <v>40513</v>
      </c>
      <c r="G41" t="s">
        <v>16</v>
      </c>
      <c r="H41">
        <v>1863</v>
      </c>
      <c r="I41">
        <v>1589</v>
      </c>
      <c r="J41">
        <f t="shared" si="0"/>
        <v>3452</v>
      </c>
    </row>
    <row r="42" ht="14.5" spans="1:10">
      <c r="A42">
        <v>41</v>
      </c>
      <c r="B42" s="3" t="s">
        <v>194</v>
      </c>
      <c r="C42" t="s">
        <v>195</v>
      </c>
      <c r="D42" t="s">
        <v>196</v>
      </c>
      <c r="E42" t="s">
        <v>197</v>
      </c>
      <c r="F42" s="4">
        <v>41153</v>
      </c>
      <c r="G42" t="s">
        <v>16</v>
      </c>
      <c r="H42">
        <v>2007</v>
      </c>
      <c r="I42">
        <v>1589</v>
      </c>
      <c r="J42">
        <f t="shared" si="0"/>
        <v>3596</v>
      </c>
    </row>
    <row r="43" ht="14.5" spans="1:10">
      <c r="A43">
        <v>42</v>
      </c>
      <c r="B43" s="3" t="s">
        <v>198</v>
      </c>
      <c r="C43" t="s">
        <v>199</v>
      </c>
      <c r="D43" t="s">
        <v>200</v>
      </c>
      <c r="E43" t="s">
        <v>201</v>
      </c>
      <c r="F43" t="s">
        <v>202</v>
      </c>
      <c r="G43" t="s">
        <v>16</v>
      </c>
      <c r="H43">
        <v>2049</v>
      </c>
      <c r="I43">
        <v>1589</v>
      </c>
      <c r="J43">
        <f t="shared" si="0"/>
        <v>3638</v>
      </c>
    </row>
    <row r="44" ht="14.5" spans="1:10">
      <c r="A44">
        <v>43</v>
      </c>
      <c r="B44" s="3" t="s">
        <v>203</v>
      </c>
      <c r="C44" t="s">
        <v>204</v>
      </c>
      <c r="D44" t="s">
        <v>205</v>
      </c>
      <c r="E44" t="s">
        <v>110</v>
      </c>
      <c r="F44" t="s">
        <v>206</v>
      </c>
      <c r="G44" t="s">
        <v>16</v>
      </c>
      <c r="H44">
        <v>2132</v>
      </c>
      <c r="I44">
        <v>1589</v>
      </c>
      <c r="J44">
        <f t="shared" si="0"/>
        <v>3721</v>
      </c>
    </row>
    <row r="45" spans="1:10">
      <c r="A45">
        <v>44</v>
      </c>
      <c r="B45" s="5" t="s">
        <v>207</v>
      </c>
      <c r="C45" t="s">
        <v>208</v>
      </c>
      <c r="D45" t="s">
        <v>209</v>
      </c>
      <c r="E45" t="s">
        <v>141</v>
      </c>
      <c r="F45" t="s">
        <v>210</v>
      </c>
      <c r="G45" t="s">
        <v>16</v>
      </c>
      <c r="H45">
        <v>2007</v>
      </c>
      <c r="I45">
        <v>1589</v>
      </c>
      <c r="J45">
        <f t="shared" si="0"/>
        <v>3596</v>
      </c>
    </row>
    <row r="46" ht="14.5" spans="1:10">
      <c r="A46">
        <v>45</v>
      </c>
      <c r="B46" s="3" t="s">
        <v>211</v>
      </c>
      <c r="C46" t="s">
        <v>212</v>
      </c>
      <c r="D46" t="s">
        <v>213</v>
      </c>
      <c r="E46" t="s">
        <v>214</v>
      </c>
      <c r="F46" t="s">
        <v>215</v>
      </c>
      <c r="G46" t="s">
        <v>216</v>
      </c>
      <c r="H46">
        <v>1279.94</v>
      </c>
      <c r="I46">
        <v>1995.78</v>
      </c>
      <c r="J46">
        <f t="shared" si="0"/>
        <v>3275.72</v>
      </c>
    </row>
    <row r="47" ht="14.5" spans="1:10">
      <c r="A47">
        <v>46</v>
      </c>
      <c r="B47" s="3" t="s">
        <v>217</v>
      </c>
      <c r="C47" t="s">
        <v>218</v>
      </c>
      <c r="D47" t="s">
        <v>219</v>
      </c>
      <c r="E47" t="s">
        <v>220</v>
      </c>
      <c r="F47" t="s">
        <v>38</v>
      </c>
      <c r="H47">
        <v>1647.36</v>
      </c>
      <c r="I47">
        <v>2008.94</v>
      </c>
      <c r="J47">
        <f t="shared" si="0"/>
        <v>3656.3</v>
      </c>
    </row>
    <row r="48" ht="14.5" spans="1:10">
      <c r="A48">
        <v>47</v>
      </c>
      <c r="B48" s="3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216</v>
      </c>
      <c r="H48">
        <v>1647.36</v>
      </c>
      <c r="I48">
        <v>2008.94</v>
      </c>
      <c r="J48">
        <f t="shared" si="0"/>
        <v>3656.3</v>
      </c>
    </row>
    <row r="49" ht="14.5" spans="1:10">
      <c r="A49">
        <v>48</v>
      </c>
      <c r="B49" s="3" t="s">
        <v>226</v>
      </c>
      <c r="C49" t="s">
        <v>227</v>
      </c>
      <c r="D49" t="s">
        <v>228</v>
      </c>
      <c r="E49" t="s">
        <v>229</v>
      </c>
      <c r="F49" t="s">
        <v>230</v>
      </c>
      <c r="G49" t="s">
        <v>216</v>
      </c>
      <c r="H49">
        <v>1568.16</v>
      </c>
      <c r="I49">
        <v>2005.55</v>
      </c>
      <c r="J49">
        <f t="shared" si="0"/>
        <v>3573.71</v>
      </c>
    </row>
    <row r="50" ht="14.5" spans="1:10">
      <c r="A50">
        <v>49</v>
      </c>
      <c r="B50" s="3" t="s">
        <v>231</v>
      </c>
      <c r="C50" t="s">
        <v>232</v>
      </c>
      <c r="D50" t="s">
        <v>233</v>
      </c>
      <c r="E50" t="s">
        <v>234</v>
      </c>
      <c r="F50" t="s">
        <v>235</v>
      </c>
      <c r="G50" t="s">
        <v>216</v>
      </c>
      <c r="H50">
        <v>1647.36</v>
      </c>
      <c r="I50">
        <v>2008.94</v>
      </c>
      <c r="J50">
        <f t="shared" si="0"/>
        <v>3656.3</v>
      </c>
    </row>
    <row r="51" ht="14.5" spans="1:10">
      <c r="A51">
        <v>50</v>
      </c>
      <c r="B51" s="3" t="s">
        <v>236</v>
      </c>
      <c r="C51" t="s">
        <v>237</v>
      </c>
      <c r="D51" t="s">
        <v>238</v>
      </c>
      <c r="E51" t="s">
        <v>239</v>
      </c>
      <c r="F51" t="s">
        <v>240</v>
      </c>
      <c r="G51" t="s">
        <v>241</v>
      </c>
      <c r="H51">
        <v>1498.86</v>
      </c>
      <c r="I51">
        <v>2002.59</v>
      </c>
      <c r="J51">
        <f t="shared" si="0"/>
        <v>3501.45</v>
      </c>
    </row>
    <row r="52" ht="14.5" spans="1:10">
      <c r="A52">
        <v>51</v>
      </c>
      <c r="B52" s="3" t="s">
        <v>242</v>
      </c>
      <c r="C52" t="s">
        <v>243</v>
      </c>
      <c r="D52" t="s">
        <v>244</v>
      </c>
      <c r="E52" t="s">
        <v>245</v>
      </c>
      <c r="F52" s="4">
        <v>40087</v>
      </c>
      <c r="G52" t="s">
        <v>16</v>
      </c>
      <c r="H52">
        <v>2007</v>
      </c>
      <c r="I52">
        <v>1589</v>
      </c>
      <c r="J52">
        <f t="shared" si="0"/>
        <v>3596</v>
      </c>
    </row>
    <row r="53" ht="14.5" spans="1:10">
      <c r="A53">
        <v>52</v>
      </c>
      <c r="B53" s="3" t="s">
        <v>246</v>
      </c>
      <c r="C53" t="s">
        <v>247</v>
      </c>
      <c r="D53" t="s">
        <v>248</v>
      </c>
      <c r="E53" t="s">
        <v>249</v>
      </c>
      <c r="F53" s="4">
        <v>39904</v>
      </c>
      <c r="G53" t="s">
        <v>16</v>
      </c>
      <c r="H53">
        <v>2007</v>
      </c>
      <c r="I53">
        <v>1589</v>
      </c>
      <c r="J53">
        <f t="shared" si="0"/>
        <v>3596</v>
      </c>
    </row>
    <row r="54" ht="14.5" spans="1:10">
      <c r="A54">
        <v>53</v>
      </c>
      <c r="B54" s="3" t="s">
        <v>250</v>
      </c>
      <c r="C54" t="s">
        <v>251</v>
      </c>
      <c r="D54" t="s">
        <v>252</v>
      </c>
      <c r="E54" t="s">
        <v>182</v>
      </c>
      <c r="F54" t="s">
        <v>253</v>
      </c>
      <c r="G54" t="s">
        <v>16</v>
      </c>
      <c r="H54">
        <v>1897</v>
      </c>
      <c r="I54">
        <v>1589</v>
      </c>
      <c r="J54">
        <f t="shared" si="0"/>
        <v>3486</v>
      </c>
    </row>
    <row r="55" ht="14.5" spans="1:10">
      <c r="A55">
        <v>54</v>
      </c>
      <c r="B55" s="3" t="s">
        <v>254</v>
      </c>
      <c r="C55" t="s">
        <v>255</v>
      </c>
      <c r="D55" t="s">
        <v>256</v>
      </c>
      <c r="E55" t="s">
        <v>257</v>
      </c>
      <c r="F55" t="s">
        <v>258</v>
      </c>
      <c r="G55" t="s">
        <v>16</v>
      </c>
      <c r="H55">
        <v>1917</v>
      </c>
      <c r="I55">
        <v>1589</v>
      </c>
      <c r="J55">
        <f t="shared" si="0"/>
        <v>3506</v>
      </c>
    </row>
    <row r="56" spans="1:10">
      <c r="A56">
        <v>55</v>
      </c>
      <c r="B56" s="5" t="s">
        <v>259</v>
      </c>
      <c r="C56" t="s">
        <v>260</v>
      </c>
      <c r="D56" t="s">
        <v>261</v>
      </c>
      <c r="E56" t="s">
        <v>262</v>
      </c>
      <c r="F56" t="s">
        <v>263</v>
      </c>
      <c r="G56" t="s">
        <v>16</v>
      </c>
      <c r="H56">
        <v>1622</v>
      </c>
      <c r="I56">
        <v>1589</v>
      </c>
      <c r="J56">
        <f t="shared" si="0"/>
        <v>3211</v>
      </c>
    </row>
    <row r="57" ht="14.5" spans="1:10">
      <c r="A57">
        <v>56</v>
      </c>
      <c r="B57" s="3" t="s">
        <v>264</v>
      </c>
      <c r="C57" t="s">
        <v>265</v>
      </c>
      <c r="D57" t="s">
        <v>266</v>
      </c>
      <c r="E57" t="s">
        <v>129</v>
      </c>
      <c r="F57" t="s">
        <v>267</v>
      </c>
      <c r="G57" t="s">
        <v>241</v>
      </c>
      <c r="H57">
        <v>1568.16</v>
      </c>
      <c r="I57">
        <v>2005.55</v>
      </c>
      <c r="J57">
        <f t="shared" si="0"/>
        <v>3573.71</v>
      </c>
    </row>
    <row r="58" ht="14.5" spans="1:10">
      <c r="A58">
        <v>57</v>
      </c>
      <c r="B58" s="3" t="s">
        <v>268</v>
      </c>
      <c r="C58" t="s">
        <v>269</v>
      </c>
      <c r="D58" t="s">
        <v>270</v>
      </c>
      <c r="E58" t="s">
        <v>271</v>
      </c>
      <c r="F58" t="s">
        <v>272</v>
      </c>
      <c r="G58" t="s">
        <v>16</v>
      </c>
      <c r="H58">
        <v>1432.53</v>
      </c>
      <c r="I58">
        <v>1999.76</v>
      </c>
      <c r="J58">
        <f t="shared" si="0"/>
        <v>3432.29</v>
      </c>
    </row>
    <row r="59" ht="14.5" spans="1:10">
      <c r="A59">
        <v>58</v>
      </c>
      <c r="B59" s="3" t="s">
        <v>273</v>
      </c>
      <c r="C59" t="s">
        <v>274</v>
      </c>
      <c r="D59" t="s">
        <v>275</v>
      </c>
      <c r="E59" t="s">
        <v>276</v>
      </c>
      <c r="F59" t="s">
        <v>277</v>
      </c>
      <c r="G59" t="s">
        <v>16</v>
      </c>
      <c r="H59">
        <v>2049</v>
      </c>
      <c r="I59">
        <v>1589</v>
      </c>
      <c r="J59">
        <f t="shared" si="0"/>
        <v>3638</v>
      </c>
    </row>
    <row r="60" ht="14.5" spans="1:10">
      <c r="A60">
        <v>59</v>
      </c>
      <c r="B60" s="3" t="s">
        <v>278</v>
      </c>
      <c r="C60" t="s">
        <v>279</v>
      </c>
      <c r="D60" t="s">
        <v>280</v>
      </c>
      <c r="E60" t="s">
        <v>281</v>
      </c>
      <c r="F60" t="s">
        <v>282</v>
      </c>
      <c r="G60" t="s">
        <v>16</v>
      </c>
      <c r="H60">
        <v>1864</v>
      </c>
      <c r="I60">
        <v>1589</v>
      </c>
      <c r="J60">
        <f t="shared" si="0"/>
        <v>3453</v>
      </c>
    </row>
    <row r="61" ht="14.5" spans="1:10">
      <c r="A61">
        <v>60</v>
      </c>
      <c r="B61" s="3" t="s">
        <v>283</v>
      </c>
      <c r="C61" t="s">
        <v>284</v>
      </c>
      <c r="D61" t="s">
        <v>285</v>
      </c>
      <c r="E61" t="s">
        <v>125</v>
      </c>
      <c r="F61" t="s">
        <v>286</v>
      </c>
      <c r="G61" t="s">
        <v>16</v>
      </c>
      <c r="H61">
        <v>1970.5</v>
      </c>
      <c r="I61">
        <v>1589</v>
      </c>
      <c r="J61">
        <f t="shared" si="0"/>
        <v>3559.5</v>
      </c>
    </row>
    <row r="62" ht="14.5" spans="1:10">
      <c r="A62">
        <v>61</v>
      </c>
      <c r="B62" s="3" t="s">
        <v>287</v>
      </c>
      <c r="C62" t="s">
        <v>288</v>
      </c>
      <c r="D62" t="s">
        <v>289</v>
      </c>
      <c r="E62" t="s">
        <v>290</v>
      </c>
      <c r="F62" t="s">
        <v>58</v>
      </c>
      <c r="G62" t="s">
        <v>16</v>
      </c>
      <c r="H62">
        <v>1432.53</v>
      </c>
      <c r="I62">
        <v>1999.76</v>
      </c>
      <c r="J62">
        <f t="shared" si="0"/>
        <v>3432.29</v>
      </c>
    </row>
    <row r="63" spans="1:10">
      <c r="A63">
        <v>62</v>
      </c>
      <c r="B63" s="5" t="s">
        <v>291</v>
      </c>
      <c r="C63" t="s">
        <v>292</v>
      </c>
      <c r="D63" t="s">
        <v>293</v>
      </c>
      <c r="E63" t="s">
        <v>294</v>
      </c>
      <c r="F63" t="s">
        <v>295</v>
      </c>
      <c r="G63" t="s">
        <v>296</v>
      </c>
      <c r="H63">
        <v>1565</v>
      </c>
      <c r="I63">
        <v>1589</v>
      </c>
      <c r="J63">
        <f t="shared" si="0"/>
        <v>3154</v>
      </c>
    </row>
    <row r="64" ht="14.5" spans="1:10">
      <c r="A64">
        <v>63</v>
      </c>
      <c r="B64" s="3" t="s">
        <v>297</v>
      </c>
      <c r="C64" t="s">
        <v>298</v>
      </c>
      <c r="D64" t="s">
        <v>299</v>
      </c>
      <c r="E64" t="s">
        <v>300</v>
      </c>
      <c r="F64" t="s">
        <v>301</v>
      </c>
      <c r="G64" t="s">
        <v>16</v>
      </c>
      <c r="H64">
        <v>2007</v>
      </c>
      <c r="I64">
        <v>1589</v>
      </c>
      <c r="J64">
        <f t="shared" si="0"/>
        <v>3596</v>
      </c>
    </row>
    <row r="65" ht="14.5" spans="1:10">
      <c r="A65">
        <v>64</v>
      </c>
      <c r="B65" s="3" t="s">
        <v>302</v>
      </c>
      <c r="C65" t="s">
        <v>303</v>
      </c>
      <c r="D65" t="s">
        <v>304</v>
      </c>
      <c r="E65" t="s">
        <v>305</v>
      </c>
      <c r="F65" t="s">
        <v>187</v>
      </c>
      <c r="G65" t="s">
        <v>16</v>
      </c>
      <c r="H65">
        <v>1897</v>
      </c>
      <c r="I65">
        <v>1589</v>
      </c>
      <c r="J65">
        <f t="shared" si="0"/>
        <v>3486</v>
      </c>
    </row>
    <row r="66" spans="1:10">
      <c r="A66">
        <v>65</v>
      </c>
      <c r="B66" s="5" t="s">
        <v>306</v>
      </c>
      <c r="C66" t="s">
        <v>307</v>
      </c>
      <c r="D66" t="s">
        <v>308</v>
      </c>
      <c r="E66" t="s">
        <v>186</v>
      </c>
      <c r="F66" t="s">
        <v>309</v>
      </c>
      <c r="G66" t="s">
        <v>16</v>
      </c>
      <c r="H66">
        <v>1884</v>
      </c>
      <c r="I66">
        <v>1589</v>
      </c>
      <c r="J66">
        <f t="shared" si="0"/>
        <v>3473</v>
      </c>
    </row>
    <row r="67" ht="14.5" spans="1:10">
      <c r="A67">
        <v>66</v>
      </c>
      <c r="B67" s="3" t="s">
        <v>310</v>
      </c>
      <c r="C67" t="s">
        <v>311</v>
      </c>
      <c r="D67" t="s">
        <v>312</v>
      </c>
      <c r="E67" t="s">
        <v>28</v>
      </c>
      <c r="F67" t="s">
        <v>48</v>
      </c>
      <c r="G67" t="s">
        <v>16</v>
      </c>
      <c r="H67">
        <v>1864</v>
      </c>
      <c r="I67">
        <v>1589</v>
      </c>
      <c r="J67">
        <f t="shared" ref="J67:J130" si="1">SUM(H67:I67)</f>
        <v>3453</v>
      </c>
    </row>
    <row r="68" ht="14.5" spans="1:10">
      <c r="A68">
        <v>67</v>
      </c>
      <c r="B68" s="3" t="s">
        <v>313</v>
      </c>
      <c r="C68" t="s">
        <v>314</v>
      </c>
      <c r="D68" t="s">
        <v>315</v>
      </c>
      <c r="E68" t="s">
        <v>281</v>
      </c>
      <c r="F68" t="s">
        <v>316</v>
      </c>
      <c r="G68" t="s">
        <v>16</v>
      </c>
      <c r="H68">
        <v>2007</v>
      </c>
      <c r="I68">
        <v>1589</v>
      </c>
      <c r="J68">
        <f t="shared" si="1"/>
        <v>3596</v>
      </c>
    </row>
    <row r="69" ht="14.5" spans="1:10">
      <c r="A69">
        <v>68</v>
      </c>
      <c r="B69" s="3" t="s">
        <v>317</v>
      </c>
      <c r="C69" t="s">
        <v>318</v>
      </c>
      <c r="D69" t="s">
        <v>319</v>
      </c>
      <c r="E69" t="s">
        <v>28</v>
      </c>
      <c r="F69" t="s">
        <v>320</v>
      </c>
      <c r="G69" t="s">
        <v>16</v>
      </c>
      <c r="H69">
        <v>2049</v>
      </c>
      <c r="I69">
        <v>1589</v>
      </c>
      <c r="J69">
        <f t="shared" si="1"/>
        <v>3638</v>
      </c>
    </row>
    <row r="70" ht="14.5" spans="1:10">
      <c r="A70">
        <v>69</v>
      </c>
      <c r="B70" s="3" t="s">
        <v>321</v>
      </c>
      <c r="C70" t="s">
        <v>322</v>
      </c>
      <c r="D70" t="s">
        <v>323</v>
      </c>
      <c r="E70" t="s">
        <v>276</v>
      </c>
      <c r="F70" t="s">
        <v>73</v>
      </c>
      <c r="G70" t="s">
        <v>16</v>
      </c>
      <c r="H70">
        <v>2049</v>
      </c>
      <c r="I70">
        <v>1589</v>
      </c>
      <c r="J70">
        <f t="shared" si="1"/>
        <v>3638</v>
      </c>
    </row>
    <row r="71" ht="14.5" spans="1:10">
      <c r="A71">
        <v>70</v>
      </c>
      <c r="B71" s="3" t="s">
        <v>324</v>
      </c>
      <c r="C71" t="s">
        <v>325</v>
      </c>
      <c r="D71" t="s">
        <v>326</v>
      </c>
      <c r="E71" t="s">
        <v>72</v>
      </c>
      <c r="F71" t="s">
        <v>327</v>
      </c>
      <c r="G71" t="s">
        <v>16</v>
      </c>
      <c r="H71">
        <v>1969.1</v>
      </c>
      <c r="I71">
        <v>1589</v>
      </c>
      <c r="J71">
        <f t="shared" si="1"/>
        <v>3558.1</v>
      </c>
    </row>
    <row r="72" ht="14.5" spans="1:10">
      <c r="A72">
        <v>71</v>
      </c>
      <c r="B72" s="3" t="s">
        <v>328</v>
      </c>
      <c r="C72" t="s">
        <v>329</v>
      </c>
      <c r="D72" t="s">
        <v>330</v>
      </c>
      <c r="E72" t="s">
        <v>331</v>
      </c>
      <c r="F72" t="s">
        <v>332</v>
      </c>
      <c r="G72" t="s">
        <v>241</v>
      </c>
      <c r="H72">
        <v>1400.85</v>
      </c>
      <c r="I72">
        <v>1998.4</v>
      </c>
      <c r="J72">
        <f t="shared" si="1"/>
        <v>3399.25</v>
      </c>
    </row>
    <row r="73" spans="1:10">
      <c r="A73">
        <v>72</v>
      </c>
      <c r="B73" s="5" t="s">
        <v>333</v>
      </c>
      <c r="C73" t="s">
        <v>334</v>
      </c>
      <c r="D73" t="s">
        <v>335</v>
      </c>
      <c r="E73" t="s">
        <v>336</v>
      </c>
      <c r="F73" t="s">
        <v>286</v>
      </c>
      <c r="G73" t="s">
        <v>16</v>
      </c>
      <c r="H73">
        <v>1690.5</v>
      </c>
      <c r="I73">
        <v>1589</v>
      </c>
      <c r="J73">
        <f t="shared" si="1"/>
        <v>3279.5</v>
      </c>
    </row>
    <row r="74" ht="14.5" spans="1:10">
      <c r="A74">
        <v>73</v>
      </c>
      <c r="B74" s="3" t="s">
        <v>337</v>
      </c>
      <c r="C74" t="s">
        <v>338</v>
      </c>
      <c r="D74" t="s">
        <v>339</v>
      </c>
      <c r="E74" t="s">
        <v>340</v>
      </c>
      <c r="F74" s="4">
        <v>32813</v>
      </c>
      <c r="G74" t="s">
        <v>296</v>
      </c>
      <c r="H74">
        <v>1579</v>
      </c>
      <c r="I74">
        <v>1589</v>
      </c>
      <c r="J74">
        <f t="shared" si="1"/>
        <v>3168</v>
      </c>
    </row>
    <row r="75" ht="14.5" spans="1:10">
      <c r="A75">
        <v>74</v>
      </c>
      <c r="B75" s="3" t="s">
        <v>341</v>
      </c>
      <c r="C75" t="s">
        <v>342</v>
      </c>
      <c r="D75" t="s">
        <v>343</v>
      </c>
      <c r="E75" s="4">
        <v>21398</v>
      </c>
      <c r="F75" s="4">
        <v>34973</v>
      </c>
      <c r="G75" t="s">
        <v>16</v>
      </c>
      <c r="H75">
        <v>1552.5</v>
      </c>
      <c r="I75">
        <v>1589</v>
      </c>
      <c r="J75">
        <f t="shared" si="1"/>
        <v>3141.5</v>
      </c>
    </row>
    <row r="76" ht="14.5" spans="1:10">
      <c r="A76">
        <v>75</v>
      </c>
      <c r="B76" s="3" t="s">
        <v>344</v>
      </c>
      <c r="C76" t="s">
        <v>345</v>
      </c>
      <c r="D76" s="4">
        <v>16117</v>
      </c>
      <c r="E76" s="4">
        <v>23774</v>
      </c>
      <c r="F76" s="4">
        <v>36192</v>
      </c>
      <c r="G76" t="s">
        <v>16</v>
      </c>
      <c r="H76">
        <v>1420</v>
      </c>
      <c r="I76">
        <v>1589</v>
      </c>
      <c r="J76">
        <f t="shared" si="1"/>
        <v>3009</v>
      </c>
    </row>
    <row r="77" ht="14.5" spans="1:10">
      <c r="A77">
        <v>76</v>
      </c>
      <c r="B77" s="3" t="s">
        <v>346</v>
      </c>
      <c r="C77" t="s">
        <v>347</v>
      </c>
      <c r="D77" t="s">
        <v>348</v>
      </c>
      <c r="E77" s="4">
        <v>25051</v>
      </c>
      <c r="F77" s="4">
        <v>36342</v>
      </c>
      <c r="G77" t="s">
        <v>16</v>
      </c>
      <c r="H77">
        <v>1553.2</v>
      </c>
      <c r="I77">
        <v>1589</v>
      </c>
      <c r="J77">
        <f t="shared" si="1"/>
        <v>3142.2</v>
      </c>
    </row>
    <row r="78" ht="14.5" spans="1:10">
      <c r="A78">
        <v>77</v>
      </c>
      <c r="B78" s="3" t="s">
        <v>349</v>
      </c>
      <c r="C78" t="s">
        <v>350</v>
      </c>
      <c r="D78" t="s">
        <v>351</v>
      </c>
      <c r="E78" t="s">
        <v>352</v>
      </c>
      <c r="F78" s="4">
        <v>37956</v>
      </c>
      <c r="G78" t="s">
        <v>16</v>
      </c>
      <c r="H78">
        <v>1527.5</v>
      </c>
      <c r="I78">
        <v>1589</v>
      </c>
      <c r="J78">
        <f t="shared" si="1"/>
        <v>3116.5</v>
      </c>
    </row>
    <row r="79" ht="14.5" spans="1:10">
      <c r="A79">
        <v>78</v>
      </c>
      <c r="B79" s="3" t="s">
        <v>353</v>
      </c>
      <c r="C79" t="s">
        <v>354</v>
      </c>
      <c r="D79" t="s">
        <v>355</v>
      </c>
      <c r="E79" t="s">
        <v>356</v>
      </c>
      <c r="F79" s="4">
        <v>38018</v>
      </c>
      <c r="G79" t="s">
        <v>16</v>
      </c>
      <c r="H79">
        <v>1628.5</v>
      </c>
      <c r="I79">
        <v>1589</v>
      </c>
      <c r="J79">
        <f t="shared" si="1"/>
        <v>3217.5</v>
      </c>
    </row>
    <row r="80" ht="14.5" spans="1:10">
      <c r="A80">
        <v>79</v>
      </c>
      <c r="B80" s="3" t="s">
        <v>357</v>
      </c>
      <c r="C80" t="s">
        <v>358</v>
      </c>
      <c r="D80" s="4">
        <v>18431</v>
      </c>
      <c r="E80" t="s">
        <v>352</v>
      </c>
      <c r="F80" t="s">
        <v>359</v>
      </c>
      <c r="G80" t="s">
        <v>16</v>
      </c>
      <c r="H80">
        <v>1528.5</v>
      </c>
      <c r="I80">
        <v>1589</v>
      </c>
      <c r="J80">
        <f t="shared" si="1"/>
        <v>3117.5</v>
      </c>
    </row>
    <row r="81" ht="14.5" spans="1:10">
      <c r="A81">
        <v>80</v>
      </c>
      <c r="B81" s="3" t="s">
        <v>360</v>
      </c>
      <c r="C81" t="s">
        <v>361</v>
      </c>
      <c r="D81" t="s">
        <v>362</v>
      </c>
      <c r="E81" t="s">
        <v>110</v>
      </c>
      <c r="F81" t="s">
        <v>363</v>
      </c>
      <c r="G81" t="s">
        <v>16</v>
      </c>
      <c r="H81">
        <v>1864</v>
      </c>
      <c r="I81">
        <v>1589</v>
      </c>
      <c r="J81">
        <f t="shared" si="1"/>
        <v>3453</v>
      </c>
    </row>
    <row r="82" ht="14.5" spans="1:10">
      <c r="A82">
        <v>81</v>
      </c>
      <c r="B82" s="3" t="s">
        <v>364</v>
      </c>
      <c r="C82" t="s">
        <v>365</v>
      </c>
      <c r="D82" t="s">
        <v>366</v>
      </c>
      <c r="E82" t="s">
        <v>62</v>
      </c>
      <c r="F82" t="s">
        <v>130</v>
      </c>
      <c r="G82" t="s">
        <v>16</v>
      </c>
      <c r="H82">
        <v>1900</v>
      </c>
      <c r="I82">
        <v>1589</v>
      </c>
      <c r="J82">
        <f t="shared" si="1"/>
        <v>3489</v>
      </c>
    </row>
    <row r="83" ht="14.5" spans="1:10">
      <c r="A83">
        <v>82</v>
      </c>
      <c r="B83" s="3" t="s">
        <v>367</v>
      </c>
      <c r="C83" t="s">
        <v>368</v>
      </c>
      <c r="D83" t="s">
        <v>369</v>
      </c>
      <c r="E83" t="s">
        <v>370</v>
      </c>
      <c r="F83" t="s">
        <v>327</v>
      </c>
      <c r="G83" t="s">
        <v>16</v>
      </c>
      <c r="H83">
        <v>2090.5</v>
      </c>
      <c r="I83">
        <v>1589</v>
      </c>
      <c r="J83">
        <f t="shared" si="1"/>
        <v>3679.5</v>
      </c>
    </row>
    <row r="84" ht="14.5" spans="1:10">
      <c r="A84">
        <v>83</v>
      </c>
      <c r="B84" s="3" t="s">
        <v>371</v>
      </c>
      <c r="C84" t="s">
        <v>372</v>
      </c>
      <c r="D84" t="s">
        <v>373</v>
      </c>
      <c r="E84" t="s">
        <v>169</v>
      </c>
      <c r="F84" t="s">
        <v>374</v>
      </c>
      <c r="G84" t="s">
        <v>16</v>
      </c>
      <c r="H84">
        <v>1691</v>
      </c>
      <c r="I84">
        <v>1589</v>
      </c>
      <c r="J84">
        <f t="shared" si="1"/>
        <v>3280</v>
      </c>
    </row>
    <row r="85" ht="14.5" spans="1:10">
      <c r="A85">
        <v>84</v>
      </c>
      <c r="B85" s="3" t="s">
        <v>375</v>
      </c>
      <c r="C85" t="s">
        <v>376</v>
      </c>
      <c r="D85" t="s">
        <v>377</v>
      </c>
      <c r="E85" t="s">
        <v>129</v>
      </c>
      <c r="F85" s="4">
        <v>39508</v>
      </c>
      <c r="G85" t="s">
        <v>16</v>
      </c>
      <c r="H85">
        <v>1969.1</v>
      </c>
      <c r="I85">
        <v>1589</v>
      </c>
      <c r="J85">
        <f t="shared" si="1"/>
        <v>3558.1</v>
      </c>
    </row>
    <row r="86" ht="14.5" spans="1:10">
      <c r="A86">
        <v>85</v>
      </c>
      <c r="B86" s="3" t="s">
        <v>378</v>
      </c>
      <c r="C86" t="s">
        <v>379</v>
      </c>
      <c r="D86" t="s">
        <v>380</v>
      </c>
      <c r="E86" t="s">
        <v>381</v>
      </c>
      <c r="F86" t="s">
        <v>173</v>
      </c>
      <c r="G86" t="s">
        <v>16</v>
      </c>
      <c r="H86">
        <v>1895.3</v>
      </c>
      <c r="I86">
        <v>1589</v>
      </c>
      <c r="J86">
        <f t="shared" si="1"/>
        <v>3484.3</v>
      </c>
    </row>
    <row r="87" ht="14.5" spans="1:10">
      <c r="A87">
        <v>86</v>
      </c>
      <c r="B87" s="3" t="s">
        <v>382</v>
      </c>
      <c r="C87" t="s">
        <v>383</v>
      </c>
      <c r="D87" t="s">
        <v>384</v>
      </c>
      <c r="E87" t="s">
        <v>385</v>
      </c>
      <c r="F87" t="s">
        <v>258</v>
      </c>
      <c r="G87" t="s">
        <v>16</v>
      </c>
      <c r="H87">
        <v>2049</v>
      </c>
      <c r="I87">
        <v>1589</v>
      </c>
      <c r="J87">
        <f t="shared" si="1"/>
        <v>3638</v>
      </c>
    </row>
    <row r="88" ht="14.5" spans="1:10">
      <c r="A88">
        <v>87</v>
      </c>
      <c r="B88" s="3" t="s">
        <v>386</v>
      </c>
      <c r="C88" t="s">
        <v>387</v>
      </c>
      <c r="D88" t="s">
        <v>388</v>
      </c>
      <c r="E88" t="s">
        <v>97</v>
      </c>
      <c r="F88" t="s">
        <v>389</v>
      </c>
      <c r="G88" t="s">
        <v>16</v>
      </c>
      <c r="H88">
        <v>1800</v>
      </c>
      <c r="I88">
        <v>1589</v>
      </c>
      <c r="J88">
        <f t="shared" si="1"/>
        <v>3389</v>
      </c>
    </row>
    <row r="89" ht="14.5" spans="1:10">
      <c r="A89">
        <v>88</v>
      </c>
      <c r="B89" s="3" t="s">
        <v>390</v>
      </c>
      <c r="C89" t="s">
        <v>391</v>
      </c>
      <c r="D89" s="4">
        <v>18498</v>
      </c>
      <c r="E89" t="s">
        <v>191</v>
      </c>
      <c r="F89" t="s">
        <v>392</v>
      </c>
      <c r="G89" t="s">
        <v>16</v>
      </c>
      <c r="H89">
        <v>2090</v>
      </c>
      <c r="I89">
        <v>1589</v>
      </c>
      <c r="J89">
        <f t="shared" si="1"/>
        <v>3679</v>
      </c>
    </row>
    <row r="90" ht="14.5" spans="1:10">
      <c r="A90">
        <v>89</v>
      </c>
      <c r="B90" s="3" t="s">
        <v>393</v>
      </c>
      <c r="C90" t="s">
        <v>394</v>
      </c>
      <c r="D90" t="s">
        <v>395</v>
      </c>
      <c r="E90" t="s">
        <v>396</v>
      </c>
      <c r="F90" t="s">
        <v>397</v>
      </c>
      <c r="G90" t="s">
        <v>16</v>
      </c>
      <c r="H90">
        <v>1847</v>
      </c>
      <c r="I90">
        <v>1589</v>
      </c>
      <c r="J90">
        <f t="shared" si="1"/>
        <v>3436</v>
      </c>
    </row>
    <row r="91" ht="14.5" spans="1:10">
      <c r="A91">
        <v>90</v>
      </c>
      <c r="B91" s="3" t="s">
        <v>398</v>
      </c>
      <c r="C91" t="s">
        <v>399</v>
      </c>
      <c r="D91" t="s">
        <v>400</v>
      </c>
      <c r="E91" t="s">
        <v>401</v>
      </c>
      <c r="F91" s="4">
        <v>40603</v>
      </c>
      <c r="G91" t="s">
        <v>16</v>
      </c>
      <c r="H91">
        <v>1897</v>
      </c>
      <c r="I91">
        <v>1589</v>
      </c>
      <c r="J91">
        <f t="shared" si="1"/>
        <v>3486</v>
      </c>
    </row>
    <row r="92" ht="14.5" spans="1:10">
      <c r="A92">
        <v>91</v>
      </c>
      <c r="B92" s="3" t="s">
        <v>402</v>
      </c>
      <c r="C92" t="s">
        <v>403</v>
      </c>
      <c r="D92" t="s">
        <v>404</v>
      </c>
      <c r="E92" t="s">
        <v>405</v>
      </c>
      <c r="F92" s="4">
        <v>41244</v>
      </c>
      <c r="G92" t="s">
        <v>16</v>
      </c>
      <c r="H92">
        <v>1897</v>
      </c>
      <c r="I92">
        <v>1589</v>
      </c>
      <c r="J92">
        <f t="shared" si="1"/>
        <v>3486</v>
      </c>
    </row>
    <row r="93" ht="14.5" spans="1:10">
      <c r="A93">
        <v>92</v>
      </c>
      <c r="B93" s="3" t="s">
        <v>406</v>
      </c>
      <c r="C93" t="s">
        <v>407</v>
      </c>
      <c r="D93" t="s">
        <v>408</v>
      </c>
      <c r="E93" t="s">
        <v>409</v>
      </c>
      <c r="F93" t="s">
        <v>410</v>
      </c>
      <c r="G93" t="s">
        <v>16</v>
      </c>
      <c r="H93">
        <v>2007</v>
      </c>
      <c r="I93">
        <v>1589</v>
      </c>
      <c r="J93">
        <f t="shared" si="1"/>
        <v>3596</v>
      </c>
    </row>
    <row r="94" ht="14.5" spans="1:10">
      <c r="A94">
        <v>93</v>
      </c>
      <c r="B94" s="3" t="s">
        <v>411</v>
      </c>
      <c r="C94" t="s">
        <v>412</v>
      </c>
      <c r="D94" t="s">
        <v>413</v>
      </c>
      <c r="E94" t="s">
        <v>249</v>
      </c>
      <c r="F94" t="s">
        <v>230</v>
      </c>
      <c r="H94">
        <v>1872</v>
      </c>
      <c r="I94">
        <v>2018.54</v>
      </c>
      <c r="J94">
        <f t="shared" si="1"/>
        <v>3890.54</v>
      </c>
    </row>
    <row r="95" ht="14.5" spans="1:10">
      <c r="A95">
        <v>94</v>
      </c>
      <c r="B95" s="3" t="s">
        <v>414</v>
      </c>
      <c r="C95" t="s">
        <v>415</v>
      </c>
      <c r="D95" t="s">
        <v>416</v>
      </c>
      <c r="E95" t="s">
        <v>417</v>
      </c>
      <c r="F95" t="s">
        <v>418</v>
      </c>
      <c r="G95" t="s">
        <v>16</v>
      </c>
      <c r="H95">
        <v>2090</v>
      </c>
      <c r="I95">
        <v>1589</v>
      </c>
      <c r="J95">
        <f t="shared" si="1"/>
        <v>3679</v>
      </c>
    </row>
    <row r="96" ht="14.5" spans="1:10">
      <c r="A96">
        <v>95</v>
      </c>
      <c r="B96" s="3" t="s">
        <v>419</v>
      </c>
      <c r="C96" t="s">
        <v>420</v>
      </c>
      <c r="D96" t="s">
        <v>421</v>
      </c>
      <c r="E96" t="s">
        <v>300</v>
      </c>
      <c r="F96" t="s">
        <v>422</v>
      </c>
      <c r="G96" t="s">
        <v>216</v>
      </c>
      <c r="H96">
        <v>1464.21</v>
      </c>
      <c r="I96">
        <v>2001.11</v>
      </c>
      <c r="J96">
        <f t="shared" si="1"/>
        <v>3465.32</v>
      </c>
    </row>
    <row r="97" ht="14.5" spans="1:10">
      <c r="A97">
        <v>96</v>
      </c>
      <c r="B97" s="3" t="s">
        <v>423</v>
      </c>
      <c r="C97" t="s">
        <v>424</v>
      </c>
      <c r="D97" t="s">
        <v>425</v>
      </c>
      <c r="E97" t="s">
        <v>67</v>
      </c>
      <c r="F97" t="s">
        <v>235</v>
      </c>
      <c r="G97" t="s">
        <v>216</v>
      </c>
      <c r="H97">
        <v>1533.51</v>
      </c>
      <c r="I97">
        <v>2004.07</v>
      </c>
      <c r="J97">
        <f t="shared" si="1"/>
        <v>3537.58</v>
      </c>
    </row>
    <row r="98" ht="14.5" spans="1:10">
      <c r="A98">
        <v>97</v>
      </c>
      <c r="B98" s="3" t="s">
        <v>426</v>
      </c>
      <c r="C98" t="s">
        <v>427</v>
      </c>
      <c r="D98" t="s">
        <v>428</v>
      </c>
      <c r="E98" t="s">
        <v>429</v>
      </c>
      <c r="F98" t="s">
        <v>430</v>
      </c>
      <c r="G98"/>
      <c r="H98">
        <v>1432.53</v>
      </c>
      <c r="I98">
        <v>1999.76</v>
      </c>
      <c r="J98">
        <f t="shared" si="1"/>
        <v>3432.29</v>
      </c>
    </row>
    <row r="99" ht="14.5" spans="1:10">
      <c r="A99">
        <v>98</v>
      </c>
      <c r="B99" s="3" t="s">
        <v>431</v>
      </c>
      <c r="C99" t="s">
        <v>432</v>
      </c>
      <c r="D99" t="s">
        <v>433</v>
      </c>
      <c r="E99" t="s">
        <v>434</v>
      </c>
      <c r="F99" t="s">
        <v>435</v>
      </c>
      <c r="G99"/>
      <c r="H99">
        <v>1432.53</v>
      </c>
      <c r="I99">
        <v>1999.76</v>
      </c>
      <c r="J99">
        <f t="shared" si="1"/>
        <v>3432.29</v>
      </c>
    </row>
    <row r="100" ht="14.5" spans="1:10">
      <c r="A100">
        <v>99</v>
      </c>
      <c r="B100" s="3" t="s">
        <v>436</v>
      </c>
      <c r="C100" t="s">
        <v>437</v>
      </c>
      <c r="D100" t="s">
        <v>438</v>
      </c>
      <c r="E100" t="s">
        <v>439</v>
      </c>
      <c r="F100" t="s">
        <v>440</v>
      </c>
      <c r="G100" t="s">
        <v>216</v>
      </c>
      <c r="H100">
        <v>1498.86</v>
      </c>
      <c r="I100">
        <v>2002.59</v>
      </c>
      <c r="J100">
        <f t="shared" si="1"/>
        <v>3501.45</v>
      </c>
    </row>
    <row r="101" ht="14.5" spans="1:10">
      <c r="A101">
        <v>100</v>
      </c>
      <c r="B101" s="3" t="s">
        <v>441</v>
      </c>
      <c r="C101" t="s">
        <v>442</v>
      </c>
      <c r="D101" t="s">
        <v>443</v>
      </c>
      <c r="E101" t="s">
        <v>97</v>
      </c>
      <c r="F101" t="s">
        <v>444</v>
      </c>
      <c r="G101" t="s">
        <v>216</v>
      </c>
      <c r="H101">
        <v>1400.85</v>
      </c>
      <c r="I101">
        <v>1998.4</v>
      </c>
      <c r="J101">
        <f t="shared" si="1"/>
        <v>3399.25</v>
      </c>
    </row>
    <row r="102" ht="14.5" spans="1:10">
      <c r="A102">
        <v>101</v>
      </c>
      <c r="B102" s="3" t="s">
        <v>445</v>
      </c>
      <c r="C102" t="s">
        <v>446</v>
      </c>
      <c r="D102" t="s">
        <v>447</v>
      </c>
      <c r="E102" t="s">
        <v>448</v>
      </c>
      <c r="F102" t="s">
        <v>83</v>
      </c>
      <c r="G102" t="s">
        <v>216</v>
      </c>
      <c r="H102">
        <v>1400.85</v>
      </c>
      <c r="I102">
        <v>1998.4</v>
      </c>
      <c r="J102">
        <f t="shared" si="1"/>
        <v>3399.25</v>
      </c>
    </row>
    <row r="103" ht="14.5" spans="1:10">
      <c r="A103">
        <v>102</v>
      </c>
      <c r="B103" s="3" t="s">
        <v>449</v>
      </c>
      <c r="C103" t="s">
        <v>450</v>
      </c>
      <c r="D103" t="s">
        <v>451</v>
      </c>
      <c r="E103" t="s">
        <v>429</v>
      </c>
      <c r="F103" t="s">
        <v>444</v>
      </c>
      <c r="H103">
        <v>1686.96</v>
      </c>
      <c r="I103">
        <v>2010.63</v>
      </c>
      <c r="J103">
        <f t="shared" si="1"/>
        <v>3697.59</v>
      </c>
    </row>
    <row r="104" ht="14.5" spans="1:10">
      <c r="A104">
        <v>103</v>
      </c>
      <c r="B104" s="3" t="s">
        <v>452</v>
      </c>
      <c r="C104" t="s">
        <v>453</v>
      </c>
      <c r="D104" t="s">
        <v>454</v>
      </c>
      <c r="E104" t="s">
        <v>129</v>
      </c>
      <c r="F104" t="s">
        <v>455</v>
      </c>
      <c r="G104" t="s">
        <v>216</v>
      </c>
      <c r="H104">
        <v>1568.16</v>
      </c>
      <c r="I104">
        <v>2005.55</v>
      </c>
      <c r="J104">
        <f t="shared" si="1"/>
        <v>3573.71</v>
      </c>
    </row>
    <row r="105" ht="14.5" spans="1:10">
      <c r="A105">
        <v>104</v>
      </c>
      <c r="B105" s="3" t="s">
        <v>456</v>
      </c>
      <c r="C105" t="s">
        <v>457</v>
      </c>
      <c r="D105" t="s">
        <v>458</v>
      </c>
      <c r="E105" t="s">
        <v>191</v>
      </c>
      <c r="F105" t="s">
        <v>459</v>
      </c>
      <c r="G105"/>
      <c r="H105">
        <v>1432.53</v>
      </c>
      <c r="I105">
        <v>1999.76</v>
      </c>
      <c r="J105">
        <f t="shared" si="1"/>
        <v>3432.29</v>
      </c>
    </row>
    <row r="106" ht="14.5" spans="1:10">
      <c r="A106">
        <v>105</v>
      </c>
      <c r="B106" s="3" t="s">
        <v>460</v>
      </c>
      <c r="C106" t="s">
        <v>461</v>
      </c>
      <c r="D106" t="s">
        <v>462</v>
      </c>
      <c r="E106" t="s">
        <v>463</v>
      </c>
      <c r="F106" s="4">
        <v>43647</v>
      </c>
      <c r="G106" t="s">
        <v>216</v>
      </c>
      <c r="H106">
        <v>1533.51</v>
      </c>
      <c r="I106">
        <v>2004.07</v>
      </c>
      <c r="J106">
        <f t="shared" si="1"/>
        <v>3537.58</v>
      </c>
    </row>
    <row r="107" ht="14.5" spans="1:10">
      <c r="A107">
        <v>106</v>
      </c>
      <c r="B107" s="3" t="s">
        <v>464</v>
      </c>
      <c r="C107" t="s">
        <v>465</v>
      </c>
      <c r="D107" t="s">
        <v>466</v>
      </c>
      <c r="E107" t="s">
        <v>409</v>
      </c>
      <c r="F107" t="s">
        <v>240</v>
      </c>
      <c r="G107" t="s">
        <v>216</v>
      </c>
      <c r="H107">
        <v>1400.85</v>
      </c>
      <c r="I107">
        <v>1998.4</v>
      </c>
      <c r="J107">
        <f t="shared" si="1"/>
        <v>3399.25</v>
      </c>
    </row>
    <row r="108" ht="14.5" spans="1:10">
      <c r="A108">
        <v>107</v>
      </c>
      <c r="B108" s="3" t="s">
        <v>467</v>
      </c>
      <c r="C108" t="s">
        <v>468</v>
      </c>
      <c r="D108" t="s">
        <v>469</v>
      </c>
      <c r="E108" t="s">
        <v>470</v>
      </c>
      <c r="F108" t="s">
        <v>320</v>
      </c>
      <c r="G108" t="s">
        <v>296</v>
      </c>
      <c r="H108">
        <v>1840</v>
      </c>
      <c r="I108">
        <v>1414</v>
      </c>
      <c r="J108">
        <f t="shared" si="1"/>
        <v>3254</v>
      </c>
    </row>
    <row r="109" ht="14.5" spans="1:10">
      <c r="A109">
        <v>108</v>
      </c>
      <c r="B109" s="3" t="s">
        <v>471</v>
      </c>
      <c r="C109" t="s">
        <v>472</v>
      </c>
      <c r="D109" t="s">
        <v>473</v>
      </c>
      <c r="E109" t="s">
        <v>474</v>
      </c>
      <c r="F109" t="s">
        <v>475</v>
      </c>
      <c r="G109" t="s">
        <v>216</v>
      </c>
      <c r="H109">
        <v>1607.76</v>
      </c>
      <c r="I109">
        <v>2007.25</v>
      </c>
      <c r="J109">
        <f t="shared" si="1"/>
        <v>3615.01</v>
      </c>
    </row>
    <row r="110" ht="14.5" spans="1:10">
      <c r="A110">
        <v>109</v>
      </c>
      <c r="B110" s="3" t="s">
        <v>476</v>
      </c>
      <c r="C110" t="s">
        <v>477</v>
      </c>
      <c r="D110" t="s">
        <v>478</v>
      </c>
      <c r="E110" t="s">
        <v>28</v>
      </c>
      <c r="F110" t="s">
        <v>272</v>
      </c>
      <c r="G110" t="s">
        <v>216</v>
      </c>
      <c r="H110">
        <v>1647.36</v>
      </c>
      <c r="I110">
        <v>2008.94</v>
      </c>
      <c r="J110">
        <f t="shared" si="1"/>
        <v>3656.3</v>
      </c>
    </row>
    <row r="111" ht="14.5" spans="1:10">
      <c r="A111">
        <v>110</v>
      </c>
      <c r="B111" s="3" t="s">
        <v>479</v>
      </c>
      <c r="C111" t="s">
        <v>480</v>
      </c>
      <c r="D111" t="s">
        <v>481</v>
      </c>
      <c r="E111" t="s">
        <v>439</v>
      </c>
      <c r="F111" t="s">
        <v>422</v>
      </c>
      <c r="G111"/>
      <c r="H111">
        <v>1432.53</v>
      </c>
      <c r="I111">
        <v>1999.76</v>
      </c>
      <c r="J111">
        <f t="shared" si="1"/>
        <v>3432.29</v>
      </c>
    </row>
    <row r="112" ht="14.5" spans="1:10">
      <c r="A112">
        <v>111</v>
      </c>
      <c r="B112" s="3" t="s">
        <v>482</v>
      </c>
      <c r="C112" t="s">
        <v>483</v>
      </c>
      <c r="D112" t="s">
        <v>484</v>
      </c>
      <c r="E112" t="s">
        <v>439</v>
      </c>
      <c r="F112" t="s">
        <v>88</v>
      </c>
      <c r="G112"/>
      <c r="H112">
        <v>1432.53</v>
      </c>
      <c r="I112">
        <v>1999.76</v>
      </c>
      <c r="J112">
        <f t="shared" si="1"/>
        <v>3432.29</v>
      </c>
    </row>
    <row r="113" ht="14.5" spans="1:10">
      <c r="A113">
        <v>112</v>
      </c>
      <c r="B113" s="3" t="s">
        <v>485</v>
      </c>
      <c r="C113" t="s">
        <v>486</v>
      </c>
      <c r="D113" t="s">
        <v>487</v>
      </c>
      <c r="E113" t="s">
        <v>77</v>
      </c>
      <c r="F113" t="s">
        <v>488</v>
      </c>
      <c r="G113" t="s">
        <v>16</v>
      </c>
      <c r="H113">
        <v>1652.5</v>
      </c>
      <c r="I113">
        <v>1589</v>
      </c>
      <c r="J113">
        <f t="shared" si="1"/>
        <v>3241.5</v>
      </c>
    </row>
    <row r="114" ht="14.5" spans="1:10">
      <c r="A114">
        <v>113</v>
      </c>
      <c r="B114" s="3" t="s">
        <v>489</v>
      </c>
      <c r="C114" t="s">
        <v>490</v>
      </c>
      <c r="D114" t="s">
        <v>491</v>
      </c>
      <c r="E114" t="s">
        <v>492</v>
      </c>
      <c r="F114" t="s">
        <v>493</v>
      </c>
      <c r="G114" t="s">
        <v>16</v>
      </c>
      <c r="H114">
        <v>1562</v>
      </c>
      <c r="I114">
        <v>1589</v>
      </c>
      <c r="J114">
        <f t="shared" si="1"/>
        <v>3151</v>
      </c>
    </row>
    <row r="115" ht="14.5" spans="1:10">
      <c r="A115">
        <v>114</v>
      </c>
      <c r="B115" s="3" t="s">
        <v>494</v>
      </c>
      <c r="C115" t="s">
        <v>495</v>
      </c>
      <c r="D115" t="s">
        <v>496</v>
      </c>
      <c r="E115" t="s">
        <v>497</v>
      </c>
      <c r="F115" t="s">
        <v>498</v>
      </c>
      <c r="G115" t="s">
        <v>16</v>
      </c>
      <c r="H115">
        <v>1679.5</v>
      </c>
      <c r="I115">
        <v>1589</v>
      </c>
      <c r="J115">
        <f t="shared" si="1"/>
        <v>3268.5</v>
      </c>
    </row>
    <row r="116" ht="14.5" spans="1:10">
      <c r="A116">
        <v>115</v>
      </c>
      <c r="B116" s="3" t="s">
        <v>499</v>
      </c>
      <c r="C116" t="s">
        <v>500</v>
      </c>
      <c r="D116" t="s">
        <v>501</v>
      </c>
      <c r="E116" t="s">
        <v>502</v>
      </c>
      <c r="F116" t="s">
        <v>148</v>
      </c>
      <c r="G116" t="s">
        <v>16</v>
      </c>
      <c r="H116">
        <v>1652.5</v>
      </c>
      <c r="I116">
        <v>1589</v>
      </c>
      <c r="J116">
        <f t="shared" si="1"/>
        <v>3241.5</v>
      </c>
    </row>
    <row r="117" ht="14.5" spans="1:10">
      <c r="A117">
        <v>116</v>
      </c>
      <c r="B117" s="3" t="s">
        <v>503</v>
      </c>
      <c r="C117" t="s">
        <v>504</v>
      </c>
      <c r="D117" t="s">
        <v>505</v>
      </c>
      <c r="E117" t="s">
        <v>52</v>
      </c>
      <c r="F117" t="s">
        <v>506</v>
      </c>
      <c r="G117" t="s">
        <v>16</v>
      </c>
      <c r="H117">
        <v>1628.5</v>
      </c>
      <c r="I117">
        <v>1589</v>
      </c>
      <c r="J117">
        <f t="shared" si="1"/>
        <v>3217.5</v>
      </c>
    </row>
    <row r="118" ht="14.5" spans="1:10">
      <c r="A118">
        <v>117</v>
      </c>
      <c r="B118" s="3" t="s">
        <v>507</v>
      </c>
      <c r="C118" t="s">
        <v>508</v>
      </c>
      <c r="D118" t="s">
        <v>509</v>
      </c>
      <c r="E118" t="s">
        <v>510</v>
      </c>
      <c r="F118" t="s">
        <v>511</v>
      </c>
      <c r="G118" t="s">
        <v>16</v>
      </c>
      <c r="H118">
        <v>1725</v>
      </c>
      <c r="I118">
        <v>1589</v>
      </c>
      <c r="J118">
        <f t="shared" si="1"/>
        <v>3314</v>
      </c>
    </row>
    <row r="119" ht="14.5" spans="1:10">
      <c r="A119">
        <v>118</v>
      </c>
      <c r="B119" s="3" t="s">
        <v>512</v>
      </c>
      <c r="C119" t="s">
        <v>513</v>
      </c>
      <c r="D119" t="s">
        <v>514</v>
      </c>
      <c r="E119" t="s">
        <v>515</v>
      </c>
      <c r="F119" t="s">
        <v>516</v>
      </c>
      <c r="G119" t="s">
        <v>16</v>
      </c>
      <c r="H119">
        <v>1628.5</v>
      </c>
      <c r="I119">
        <v>1589</v>
      </c>
      <c r="J119">
        <f t="shared" si="1"/>
        <v>3217.5</v>
      </c>
    </row>
    <row r="120" ht="14.5" spans="1:10">
      <c r="A120">
        <v>119</v>
      </c>
      <c r="B120" s="3" t="s">
        <v>517</v>
      </c>
      <c r="C120" t="s">
        <v>518</v>
      </c>
      <c r="D120" t="s">
        <v>519</v>
      </c>
      <c r="E120" t="s">
        <v>20</v>
      </c>
      <c r="F120" t="s">
        <v>520</v>
      </c>
      <c r="G120" t="s">
        <v>16</v>
      </c>
      <c r="H120">
        <v>1897</v>
      </c>
      <c r="I120">
        <v>1589</v>
      </c>
      <c r="J120">
        <f t="shared" si="1"/>
        <v>3486</v>
      </c>
    </row>
    <row r="121" ht="14.5" spans="1:10">
      <c r="A121">
        <v>120</v>
      </c>
      <c r="B121" s="3" t="s">
        <v>521</v>
      </c>
      <c r="C121" t="s">
        <v>522</v>
      </c>
      <c r="D121" t="s">
        <v>523</v>
      </c>
      <c r="E121" t="s">
        <v>249</v>
      </c>
      <c r="F121" t="s">
        <v>524</v>
      </c>
      <c r="G121" t="s">
        <v>16</v>
      </c>
      <c r="H121">
        <v>1934.5</v>
      </c>
      <c r="I121">
        <v>1589</v>
      </c>
      <c r="J121">
        <f t="shared" si="1"/>
        <v>3523.5</v>
      </c>
    </row>
    <row r="122" ht="14.5" spans="1:10">
      <c r="A122">
        <v>121</v>
      </c>
      <c r="B122" s="3" t="s">
        <v>525</v>
      </c>
      <c r="C122" t="s">
        <v>526</v>
      </c>
      <c r="D122" t="s">
        <v>527</v>
      </c>
      <c r="E122" t="s">
        <v>191</v>
      </c>
      <c r="F122" t="s">
        <v>116</v>
      </c>
      <c r="G122" t="s">
        <v>16</v>
      </c>
      <c r="H122">
        <v>1814.2</v>
      </c>
      <c r="I122">
        <v>1589</v>
      </c>
      <c r="J122">
        <f t="shared" si="1"/>
        <v>3403.2</v>
      </c>
    </row>
    <row r="123" ht="14.5" spans="1:10">
      <c r="A123">
        <v>122</v>
      </c>
      <c r="B123" s="3" t="s">
        <v>528</v>
      </c>
      <c r="C123" t="s">
        <v>529</v>
      </c>
      <c r="D123" t="s">
        <v>530</v>
      </c>
      <c r="E123" t="s">
        <v>531</v>
      </c>
      <c r="F123" t="s">
        <v>277</v>
      </c>
      <c r="G123" t="s">
        <v>16</v>
      </c>
      <c r="H123">
        <v>1864</v>
      </c>
      <c r="I123">
        <v>1589</v>
      </c>
      <c r="J123">
        <f t="shared" si="1"/>
        <v>3453</v>
      </c>
    </row>
    <row r="124" ht="14.5" spans="1:10">
      <c r="A124">
        <v>123</v>
      </c>
      <c r="B124" s="3" t="s">
        <v>532</v>
      </c>
      <c r="C124" t="s">
        <v>533</v>
      </c>
      <c r="D124" t="s">
        <v>534</v>
      </c>
      <c r="E124" t="s">
        <v>82</v>
      </c>
      <c r="F124" t="s">
        <v>535</v>
      </c>
      <c r="G124" t="s">
        <v>16</v>
      </c>
      <c r="H124">
        <v>1864</v>
      </c>
      <c r="I124">
        <v>1589</v>
      </c>
      <c r="J124">
        <f t="shared" si="1"/>
        <v>3453</v>
      </c>
    </row>
    <row r="125" ht="14.5" spans="1:10">
      <c r="A125">
        <v>124</v>
      </c>
      <c r="B125" s="3" t="s">
        <v>536</v>
      </c>
      <c r="C125" t="s">
        <v>537</v>
      </c>
      <c r="D125" t="s">
        <v>538</v>
      </c>
      <c r="E125" t="s">
        <v>539</v>
      </c>
      <c r="F125" t="s">
        <v>116</v>
      </c>
      <c r="G125" t="s">
        <v>16</v>
      </c>
      <c r="H125">
        <v>1814</v>
      </c>
      <c r="I125">
        <v>1589</v>
      </c>
      <c r="J125">
        <f t="shared" si="1"/>
        <v>3403</v>
      </c>
    </row>
    <row r="126" ht="14.5" spans="1:10">
      <c r="A126">
        <v>125</v>
      </c>
      <c r="B126" s="3" t="s">
        <v>540</v>
      </c>
      <c r="C126" t="s">
        <v>541</v>
      </c>
      <c r="D126" t="s">
        <v>542</v>
      </c>
      <c r="E126" t="s">
        <v>191</v>
      </c>
      <c r="F126" t="s">
        <v>543</v>
      </c>
      <c r="G126" t="s">
        <v>16</v>
      </c>
      <c r="H126">
        <v>1864</v>
      </c>
      <c r="I126">
        <v>1589</v>
      </c>
      <c r="J126">
        <f t="shared" si="1"/>
        <v>3453</v>
      </c>
    </row>
    <row r="127" ht="14.5" spans="1:10">
      <c r="A127">
        <v>126</v>
      </c>
      <c r="B127" s="3" t="s">
        <v>544</v>
      </c>
      <c r="C127" t="s">
        <v>545</v>
      </c>
      <c r="D127" t="s">
        <v>546</v>
      </c>
      <c r="E127" t="s">
        <v>547</v>
      </c>
      <c r="F127" t="s">
        <v>548</v>
      </c>
      <c r="G127" t="s">
        <v>16</v>
      </c>
      <c r="H127">
        <v>1934</v>
      </c>
      <c r="I127">
        <v>1589</v>
      </c>
      <c r="J127">
        <f t="shared" si="1"/>
        <v>3523</v>
      </c>
    </row>
    <row r="128" ht="14.5" spans="1:10">
      <c r="A128">
        <v>127</v>
      </c>
      <c r="B128" s="3" t="s">
        <v>549</v>
      </c>
      <c r="C128" t="s">
        <v>550</v>
      </c>
      <c r="D128" t="s">
        <v>551</v>
      </c>
      <c r="E128" t="s">
        <v>552</v>
      </c>
      <c r="F128" t="s">
        <v>553</v>
      </c>
      <c r="G128" t="s">
        <v>16</v>
      </c>
      <c r="H128">
        <v>2132</v>
      </c>
      <c r="I128">
        <v>1589</v>
      </c>
      <c r="J128">
        <f t="shared" si="1"/>
        <v>3721</v>
      </c>
    </row>
    <row r="129" ht="14.5" spans="1:10">
      <c r="A129">
        <v>128</v>
      </c>
      <c r="B129" s="3" t="s">
        <v>554</v>
      </c>
      <c r="C129" t="s">
        <v>555</v>
      </c>
      <c r="D129" t="s">
        <v>556</v>
      </c>
      <c r="E129" t="s">
        <v>474</v>
      </c>
      <c r="F129" t="s">
        <v>557</v>
      </c>
      <c r="G129" t="s">
        <v>16</v>
      </c>
      <c r="H129">
        <v>2049</v>
      </c>
      <c r="I129">
        <v>1589</v>
      </c>
      <c r="J129">
        <f t="shared" si="1"/>
        <v>3638</v>
      </c>
    </row>
    <row r="130" ht="14.5" spans="1:10">
      <c r="A130">
        <v>129</v>
      </c>
      <c r="B130" s="3" t="s">
        <v>558</v>
      </c>
      <c r="C130" t="s">
        <v>559</v>
      </c>
      <c r="D130" t="s">
        <v>560</v>
      </c>
      <c r="E130" t="s">
        <v>561</v>
      </c>
      <c r="F130" t="s">
        <v>43</v>
      </c>
      <c r="G130" t="s">
        <v>562</v>
      </c>
      <c r="H130">
        <v>1524</v>
      </c>
      <c r="I130">
        <v>1508</v>
      </c>
      <c r="J130">
        <f t="shared" si="1"/>
        <v>3032</v>
      </c>
    </row>
    <row r="131" ht="14.5" spans="1:10">
      <c r="A131">
        <v>130</v>
      </c>
      <c r="B131" s="3" t="s">
        <v>563</v>
      </c>
      <c r="C131" t="s">
        <v>564</v>
      </c>
      <c r="D131" t="s">
        <v>565</v>
      </c>
      <c r="E131" t="s">
        <v>566</v>
      </c>
      <c r="F131" t="s">
        <v>240</v>
      </c>
      <c r="G131" t="s">
        <v>216</v>
      </c>
      <c r="H131">
        <v>1309.77</v>
      </c>
      <c r="I131">
        <v>1994.51</v>
      </c>
      <c r="J131">
        <f t="shared" ref="J131:J194" si="2">SUM(H131:I131)</f>
        <v>3304.28</v>
      </c>
    </row>
    <row r="132" ht="14.5" spans="1:10">
      <c r="A132">
        <v>131</v>
      </c>
      <c r="B132" s="3" t="s">
        <v>567</v>
      </c>
      <c r="C132" t="s">
        <v>568</v>
      </c>
      <c r="D132" t="s">
        <v>569</v>
      </c>
      <c r="E132" t="s">
        <v>331</v>
      </c>
      <c r="F132" t="s">
        <v>570</v>
      </c>
      <c r="G132" t="s">
        <v>216</v>
      </c>
      <c r="H132">
        <v>1279.94</v>
      </c>
      <c r="I132">
        <v>1995.78</v>
      </c>
      <c r="J132">
        <f t="shared" si="2"/>
        <v>3275.72</v>
      </c>
    </row>
    <row r="133" ht="14.5" spans="1:10">
      <c r="A133">
        <v>132</v>
      </c>
      <c r="B133" s="3" t="s">
        <v>571</v>
      </c>
      <c r="C133" t="s">
        <v>572</v>
      </c>
      <c r="D133" t="s">
        <v>573</v>
      </c>
      <c r="E133" t="s">
        <v>164</v>
      </c>
      <c r="F133" t="s">
        <v>574</v>
      </c>
      <c r="G133" t="s">
        <v>16</v>
      </c>
      <c r="H133">
        <v>1434.5</v>
      </c>
      <c r="I133">
        <v>1589</v>
      </c>
      <c r="J133">
        <f t="shared" si="2"/>
        <v>3023.5</v>
      </c>
    </row>
    <row r="134" ht="14.5" spans="1:10">
      <c r="A134">
        <v>133</v>
      </c>
      <c r="B134" s="3" t="s">
        <v>575</v>
      </c>
      <c r="C134" t="s">
        <v>576</v>
      </c>
      <c r="D134" t="s">
        <v>577</v>
      </c>
      <c r="E134" t="s">
        <v>578</v>
      </c>
      <c r="F134" t="s">
        <v>579</v>
      </c>
      <c r="G134" t="s">
        <v>16</v>
      </c>
      <c r="H134">
        <v>2007</v>
      </c>
      <c r="I134">
        <v>1589</v>
      </c>
      <c r="J134">
        <f t="shared" si="2"/>
        <v>3596</v>
      </c>
    </row>
    <row r="135" ht="14.5" spans="1:10">
      <c r="A135">
        <v>134</v>
      </c>
      <c r="B135" s="3" t="s">
        <v>580</v>
      </c>
      <c r="C135" t="s">
        <v>581</v>
      </c>
      <c r="D135" t="s">
        <v>582</v>
      </c>
      <c r="E135" t="s">
        <v>583</v>
      </c>
      <c r="F135" t="s">
        <v>584</v>
      </c>
      <c r="G135" t="s">
        <v>16</v>
      </c>
      <c r="H135">
        <v>2090</v>
      </c>
      <c r="I135">
        <v>1589</v>
      </c>
      <c r="J135">
        <f t="shared" si="2"/>
        <v>3679</v>
      </c>
    </row>
    <row r="136" ht="14.5" spans="1:10">
      <c r="A136">
        <v>135</v>
      </c>
      <c r="B136" s="3" t="s">
        <v>585</v>
      </c>
      <c r="C136" t="s">
        <v>586</v>
      </c>
      <c r="D136" t="s">
        <v>587</v>
      </c>
      <c r="E136" t="s">
        <v>588</v>
      </c>
      <c r="F136" t="s">
        <v>589</v>
      </c>
      <c r="G136" t="s">
        <v>16</v>
      </c>
      <c r="H136">
        <v>1647.36</v>
      </c>
      <c r="I136">
        <v>2008.94</v>
      </c>
      <c r="J136">
        <f t="shared" si="2"/>
        <v>3656.3</v>
      </c>
    </row>
    <row r="137" ht="14.5" spans="1:10">
      <c r="A137">
        <v>136</v>
      </c>
      <c r="B137" s="3" t="s">
        <v>590</v>
      </c>
      <c r="C137" t="s">
        <v>591</v>
      </c>
      <c r="D137" t="s">
        <v>592</v>
      </c>
      <c r="E137" t="s">
        <v>186</v>
      </c>
      <c r="F137" t="s">
        <v>593</v>
      </c>
      <c r="G137" t="s">
        <v>16</v>
      </c>
      <c r="H137">
        <v>1607.76</v>
      </c>
      <c r="I137">
        <v>2007.25</v>
      </c>
      <c r="J137">
        <f t="shared" si="2"/>
        <v>3615.01</v>
      </c>
    </row>
    <row r="138" ht="14.5" spans="1:10">
      <c r="A138">
        <v>137</v>
      </c>
      <c r="B138" s="3" t="s">
        <v>594</v>
      </c>
      <c r="C138" t="s">
        <v>595</v>
      </c>
      <c r="D138" t="s">
        <v>596</v>
      </c>
      <c r="E138" t="s">
        <v>220</v>
      </c>
      <c r="F138" t="s">
        <v>597</v>
      </c>
      <c r="G138" t="s">
        <v>16</v>
      </c>
      <c r="H138">
        <v>1568.16</v>
      </c>
      <c r="I138">
        <v>2005.55</v>
      </c>
      <c r="J138">
        <f t="shared" si="2"/>
        <v>3573.71</v>
      </c>
    </row>
    <row r="139" ht="14.5" spans="1:10">
      <c r="A139">
        <v>138</v>
      </c>
      <c r="B139" s="3" t="s">
        <v>598</v>
      </c>
      <c r="C139" t="s">
        <v>599</v>
      </c>
      <c r="D139" t="s">
        <v>600</v>
      </c>
      <c r="E139" t="s">
        <v>601</v>
      </c>
      <c r="F139" t="s">
        <v>435</v>
      </c>
      <c r="G139" t="s">
        <v>16</v>
      </c>
      <c r="H139">
        <v>1432.53</v>
      </c>
      <c r="I139">
        <v>1999.76</v>
      </c>
      <c r="J139">
        <f t="shared" si="2"/>
        <v>3432.29</v>
      </c>
    </row>
    <row r="140" ht="14.5" spans="1:10">
      <c r="A140">
        <v>139</v>
      </c>
      <c r="B140" s="3" t="s">
        <v>602</v>
      </c>
      <c r="C140" t="s">
        <v>603</v>
      </c>
      <c r="D140" t="s">
        <v>315</v>
      </c>
      <c r="E140" t="s">
        <v>439</v>
      </c>
      <c r="F140" t="s">
        <v>63</v>
      </c>
      <c r="G140" t="s">
        <v>16</v>
      </c>
      <c r="H140">
        <v>1432.53</v>
      </c>
      <c r="I140">
        <v>1999.76</v>
      </c>
      <c r="J140">
        <f t="shared" si="2"/>
        <v>3432.29</v>
      </c>
    </row>
    <row r="141" ht="14.5" spans="1:10">
      <c r="A141">
        <v>140</v>
      </c>
      <c r="B141" s="3" t="s">
        <v>604</v>
      </c>
      <c r="C141" t="s">
        <v>605</v>
      </c>
      <c r="D141" t="s">
        <v>606</v>
      </c>
      <c r="E141" t="s">
        <v>561</v>
      </c>
      <c r="F141" t="s">
        <v>607</v>
      </c>
      <c r="G141" t="s">
        <v>16</v>
      </c>
      <c r="H141">
        <v>1568.16</v>
      </c>
      <c r="I141">
        <v>2005.55</v>
      </c>
      <c r="J141">
        <f t="shared" si="2"/>
        <v>3573.71</v>
      </c>
    </row>
    <row r="142" ht="14.5" spans="1:10">
      <c r="A142">
        <v>141</v>
      </c>
      <c r="B142" s="3" t="s">
        <v>608</v>
      </c>
      <c r="C142" t="s">
        <v>609</v>
      </c>
      <c r="D142" t="s">
        <v>610</v>
      </c>
      <c r="E142" t="s">
        <v>611</v>
      </c>
      <c r="F142" t="s">
        <v>612</v>
      </c>
      <c r="G142" t="s">
        <v>16</v>
      </c>
      <c r="H142">
        <v>1519</v>
      </c>
      <c r="I142">
        <v>1589</v>
      </c>
      <c r="J142">
        <f t="shared" si="2"/>
        <v>3108</v>
      </c>
    </row>
    <row r="143" ht="14.5" spans="1:10">
      <c r="A143">
        <v>142</v>
      </c>
      <c r="B143" s="3" t="s">
        <v>613</v>
      </c>
      <c r="C143" t="s">
        <v>614</v>
      </c>
      <c r="D143" t="s">
        <v>615</v>
      </c>
      <c r="E143" s="4">
        <v>25112</v>
      </c>
      <c r="F143" t="s">
        <v>616</v>
      </c>
      <c r="G143" t="s">
        <v>78</v>
      </c>
      <c r="H143">
        <v>1631.5</v>
      </c>
      <c r="I143">
        <v>1589</v>
      </c>
      <c r="J143">
        <f t="shared" si="2"/>
        <v>3220.5</v>
      </c>
    </row>
    <row r="144" ht="14.5" spans="1:10">
      <c r="A144">
        <v>143</v>
      </c>
      <c r="B144" s="3" t="s">
        <v>617</v>
      </c>
      <c r="C144" t="s">
        <v>618</v>
      </c>
      <c r="D144" t="s">
        <v>619</v>
      </c>
      <c r="E144" t="s">
        <v>201</v>
      </c>
      <c r="F144" t="s">
        <v>620</v>
      </c>
      <c r="G144" t="s">
        <v>16</v>
      </c>
      <c r="H144">
        <v>1485.5</v>
      </c>
      <c r="I144">
        <v>1589</v>
      </c>
      <c r="J144">
        <f t="shared" si="2"/>
        <v>3074.5</v>
      </c>
    </row>
    <row r="145" ht="14.5" spans="1:10">
      <c r="A145">
        <v>144</v>
      </c>
      <c r="B145" s="3" t="s">
        <v>621</v>
      </c>
      <c r="C145" t="s">
        <v>622</v>
      </c>
      <c r="D145" t="s">
        <v>623</v>
      </c>
      <c r="E145" t="s">
        <v>624</v>
      </c>
      <c r="F145" t="s">
        <v>625</v>
      </c>
      <c r="G145" t="s">
        <v>16</v>
      </c>
      <c r="H145">
        <v>1689.5</v>
      </c>
      <c r="I145">
        <v>1589</v>
      </c>
      <c r="J145">
        <f t="shared" si="2"/>
        <v>3278.5</v>
      </c>
    </row>
    <row r="146" ht="14.5" spans="1:10">
      <c r="A146">
        <v>145</v>
      </c>
      <c r="B146" s="3" t="s">
        <v>626</v>
      </c>
      <c r="C146" t="s">
        <v>627</v>
      </c>
      <c r="D146" t="s">
        <v>628</v>
      </c>
      <c r="E146" t="s">
        <v>629</v>
      </c>
      <c r="F146" t="s">
        <v>630</v>
      </c>
      <c r="G146" t="s">
        <v>16</v>
      </c>
      <c r="H146">
        <v>1509</v>
      </c>
      <c r="I146">
        <v>1589</v>
      </c>
      <c r="J146">
        <f t="shared" si="2"/>
        <v>3098</v>
      </c>
    </row>
    <row r="147" ht="14.5" spans="1:10">
      <c r="A147">
        <v>146</v>
      </c>
      <c r="B147" s="3" t="s">
        <v>631</v>
      </c>
      <c r="C147" t="s">
        <v>632</v>
      </c>
      <c r="D147" t="s">
        <v>633</v>
      </c>
      <c r="E147" t="s">
        <v>249</v>
      </c>
      <c r="F147" t="s">
        <v>634</v>
      </c>
      <c r="G147" t="s">
        <v>16</v>
      </c>
      <c r="H147">
        <v>1934.5</v>
      </c>
      <c r="I147">
        <v>1589</v>
      </c>
      <c r="J147">
        <f t="shared" si="2"/>
        <v>3523.5</v>
      </c>
    </row>
    <row r="148" ht="14.5" spans="1:10">
      <c r="A148">
        <v>147</v>
      </c>
      <c r="B148" s="3" t="s">
        <v>635</v>
      </c>
      <c r="C148" t="s">
        <v>636</v>
      </c>
      <c r="D148" t="s">
        <v>637</v>
      </c>
      <c r="E148" t="s">
        <v>638</v>
      </c>
      <c r="F148" t="s">
        <v>639</v>
      </c>
      <c r="G148" t="s">
        <v>16</v>
      </c>
      <c r="H148">
        <v>2048.5</v>
      </c>
      <c r="I148">
        <v>1589</v>
      </c>
      <c r="J148">
        <f t="shared" si="2"/>
        <v>3637.5</v>
      </c>
    </row>
    <row r="149" ht="14.5" spans="1:10">
      <c r="A149">
        <v>148</v>
      </c>
      <c r="B149" s="3" t="s">
        <v>640</v>
      </c>
      <c r="C149" t="s">
        <v>641</v>
      </c>
      <c r="D149" t="s">
        <v>642</v>
      </c>
      <c r="E149" t="s">
        <v>271</v>
      </c>
      <c r="F149" t="s">
        <v>643</v>
      </c>
      <c r="G149" t="s">
        <v>16</v>
      </c>
      <c r="H149">
        <v>1721</v>
      </c>
      <c r="I149">
        <v>1589</v>
      </c>
      <c r="J149">
        <f t="shared" si="2"/>
        <v>3310</v>
      </c>
    </row>
    <row r="150" ht="14.5" spans="1:10">
      <c r="A150">
        <v>149</v>
      </c>
      <c r="B150" s="3" t="s">
        <v>644</v>
      </c>
      <c r="C150" t="s">
        <v>645</v>
      </c>
      <c r="D150" t="s">
        <v>646</v>
      </c>
      <c r="E150" t="s">
        <v>647</v>
      </c>
      <c r="F150" t="s">
        <v>648</v>
      </c>
      <c r="G150" t="s">
        <v>16</v>
      </c>
      <c r="H150">
        <v>2049</v>
      </c>
      <c r="I150">
        <v>1589</v>
      </c>
      <c r="J150">
        <f t="shared" si="2"/>
        <v>3638</v>
      </c>
    </row>
    <row r="151" ht="14.5" spans="1:10">
      <c r="A151">
        <v>150</v>
      </c>
      <c r="B151" s="3" t="s">
        <v>649</v>
      </c>
      <c r="C151" t="s">
        <v>650</v>
      </c>
      <c r="D151" t="s">
        <v>651</v>
      </c>
      <c r="E151" t="s">
        <v>28</v>
      </c>
      <c r="F151" t="s">
        <v>535</v>
      </c>
      <c r="G151" t="s">
        <v>16</v>
      </c>
      <c r="H151">
        <v>1864</v>
      </c>
      <c r="I151">
        <v>1589</v>
      </c>
      <c r="J151">
        <f t="shared" si="2"/>
        <v>3453</v>
      </c>
    </row>
    <row r="152" ht="14.5" spans="1:10">
      <c r="A152">
        <v>151</v>
      </c>
      <c r="B152" s="3" t="s">
        <v>652</v>
      </c>
      <c r="C152" t="s">
        <v>653</v>
      </c>
      <c r="D152" t="s">
        <v>654</v>
      </c>
      <c r="E152" t="s">
        <v>655</v>
      </c>
      <c r="F152" t="s">
        <v>543</v>
      </c>
      <c r="G152" t="s">
        <v>16</v>
      </c>
      <c r="H152">
        <v>1546</v>
      </c>
      <c r="I152">
        <v>1589</v>
      </c>
      <c r="J152">
        <f t="shared" si="2"/>
        <v>3135</v>
      </c>
    </row>
    <row r="153" ht="14.5" spans="1:10">
      <c r="A153">
        <v>152</v>
      </c>
      <c r="B153" s="3" t="s">
        <v>656</v>
      </c>
      <c r="C153" t="s">
        <v>657</v>
      </c>
      <c r="D153" t="s">
        <v>658</v>
      </c>
      <c r="E153" t="s">
        <v>294</v>
      </c>
      <c r="F153" t="s">
        <v>659</v>
      </c>
      <c r="G153" t="s">
        <v>16</v>
      </c>
      <c r="H153">
        <v>1970</v>
      </c>
      <c r="I153">
        <v>1589</v>
      </c>
      <c r="J153">
        <f t="shared" si="2"/>
        <v>3559</v>
      </c>
    </row>
    <row r="154" ht="14.5" spans="1:10">
      <c r="A154">
        <v>153</v>
      </c>
      <c r="B154" s="3" t="s">
        <v>660</v>
      </c>
      <c r="C154" t="s">
        <v>661</v>
      </c>
      <c r="D154" t="s">
        <v>662</v>
      </c>
      <c r="E154" t="s">
        <v>439</v>
      </c>
      <c r="F154" t="s">
        <v>579</v>
      </c>
      <c r="G154" t="s">
        <v>16</v>
      </c>
      <c r="H154">
        <v>1706</v>
      </c>
      <c r="I154">
        <v>1589</v>
      </c>
      <c r="J154">
        <f t="shared" si="2"/>
        <v>3295</v>
      </c>
    </row>
    <row r="155" ht="14.5" spans="1:10">
      <c r="A155">
        <v>154</v>
      </c>
      <c r="B155" s="3" t="s">
        <v>663</v>
      </c>
      <c r="C155" t="s">
        <v>664</v>
      </c>
      <c r="D155" t="s">
        <v>665</v>
      </c>
      <c r="E155" t="s">
        <v>666</v>
      </c>
      <c r="F155" t="s">
        <v>579</v>
      </c>
      <c r="G155" t="s">
        <v>16</v>
      </c>
      <c r="H155">
        <v>1917</v>
      </c>
      <c r="I155">
        <v>1589</v>
      </c>
      <c r="J155">
        <f t="shared" si="2"/>
        <v>3506</v>
      </c>
    </row>
    <row r="156" ht="14.5" spans="1:10">
      <c r="A156">
        <v>155</v>
      </c>
      <c r="B156" s="3" t="s">
        <v>667</v>
      </c>
      <c r="C156" t="s">
        <v>668</v>
      </c>
      <c r="D156" t="s">
        <v>669</v>
      </c>
      <c r="E156" t="s">
        <v>429</v>
      </c>
      <c r="F156" t="s">
        <v>670</v>
      </c>
      <c r="G156" t="s">
        <v>16</v>
      </c>
      <c r="H156">
        <v>2007</v>
      </c>
      <c r="I156">
        <v>1589</v>
      </c>
      <c r="J156">
        <f t="shared" si="2"/>
        <v>3596</v>
      </c>
    </row>
    <row r="157" ht="14.5" spans="1:10">
      <c r="A157">
        <v>156</v>
      </c>
      <c r="B157" s="3" t="s">
        <v>671</v>
      </c>
      <c r="C157" t="s">
        <v>672</v>
      </c>
      <c r="D157" t="s">
        <v>673</v>
      </c>
      <c r="E157" t="s">
        <v>28</v>
      </c>
      <c r="F157" t="s">
        <v>674</v>
      </c>
      <c r="G157" t="s">
        <v>16</v>
      </c>
      <c r="H157">
        <v>2007</v>
      </c>
      <c r="I157">
        <v>1589</v>
      </c>
      <c r="J157">
        <f t="shared" si="2"/>
        <v>3596</v>
      </c>
    </row>
    <row r="158" ht="14.5" spans="1:10">
      <c r="A158">
        <v>157</v>
      </c>
      <c r="B158" s="3" t="s">
        <v>675</v>
      </c>
      <c r="C158" t="s">
        <v>676</v>
      </c>
      <c r="D158" t="s">
        <v>677</v>
      </c>
      <c r="E158" t="s">
        <v>28</v>
      </c>
      <c r="F158" t="s">
        <v>316</v>
      </c>
      <c r="G158" t="s">
        <v>16</v>
      </c>
      <c r="H158">
        <v>2007</v>
      </c>
      <c r="I158">
        <v>1589</v>
      </c>
      <c r="J158">
        <f t="shared" si="2"/>
        <v>3596</v>
      </c>
    </row>
    <row r="159" ht="14.5" spans="1:10">
      <c r="A159">
        <v>158</v>
      </c>
      <c r="B159" s="3" t="s">
        <v>678</v>
      </c>
      <c r="C159" t="s">
        <v>679</v>
      </c>
      <c r="D159" t="s">
        <v>680</v>
      </c>
      <c r="E159" t="s">
        <v>681</v>
      </c>
      <c r="F159" t="s">
        <v>682</v>
      </c>
      <c r="G159" t="s">
        <v>16</v>
      </c>
      <c r="H159">
        <v>1936</v>
      </c>
      <c r="I159">
        <v>1589</v>
      </c>
      <c r="J159">
        <f t="shared" si="2"/>
        <v>3525</v>
      </c>
    </row>
    <row r="160" ht="14.5" spans="1:10">
      <c r="A160">
        <v>159</v>
      </c>
      <c r="B160" s="3" t="s">
        <v>683</v>
      </c>
      <c r="C160" t="s">
        <v>684</v>
      </c>
      <c r="D160" t="s">
        <v>685</v>
      </c>
      <c r="E160" t="s">
        <v>129</v>
      </c>
      <c r="F160" t="s">
        <v>686</v>
      </c>
      <c r="G160" t="s">
        <v>16</v>
      </c>
      <c r="H160">
        <v>2090</v>
      </c>
      <c r="I160">
        <v>1589</v>
      </c>
      <c r="J160">
        <f t="shared" si="2"/>
        <v>3679</v>
      </c>
    </row>
    <row r="161" ht="14.5" spans="1:11">
      <c r="A161">
        <v>160</v>
      </c>
      <c r="B161" s="3" t="s">
        <v>687</v>
      </c>
      <c r="C161" t="s">
        <v>688</v>
      </c>
      <c r="D161" t="s">
        <v>689</v>
      </c>
      <c r="E161" t="s">
        <v>429</v>
      </c>
      <c r="F161" t="s">
        <v>686</v>
      </c>
      <c r="G161" t="s">
        <v>16</v>
      </c>
      <c r="H161">
        <v>2049</v>
      </c>
      <c r="I161">
        <v>1589</v>
      </c>
      <c r="J161">
        <f t="shared" si="2"/>
        <v>3638</v>
      </c>
    </row>
    <row r="162" ht="14.5" spans="1:11">
      <c r="A162">
        <v>161</v>
      </c>
      <c r="B162" s="3" t="s">
        <v>690</v>
      </c>
      <c r="C162" t="s">
        <v>691</v>
      </c>
      <c r="D162" t="s">
        <v>692</v>
      </c>
      <c r="E162" t="s">
        <v>666</v>
      </c>
      <c r="F162" t="s">
        <v>693</v>
      </c>
      <c r="G162" t="s">
        <v>16</v>
      </c>
      <c r="H162">
        <v>2090</v>
      </c>
      <c r="I162">
        <v>1589</v>
      </c>
      <c r="J162">
        <f t="shared" si="2"/>
        <v>3679</v>
      </c>
    </row>
    <row r="163" ht="14.5" spans="1:11">
      <c r="A163">
        <v>162</v>
      </c>
      <c r="B163" s="3" t="s">
        <v>694</v>
      </c>
      <c r="C163" t="s">
        <v>695</v>
      </c>
      <c r="D163" t="s">
        <v>696</v>
      </c>
      <c r="E163" t="s">
        <v>697</v>
      </c>
      <c r="F163" t="s">
        <v>698</v>
      </c>
      <c r="G163" t="s">
        <v>16</v>
      </c>
      <c r="H163">
        <v>1369.17</v>
      </c>
      <c r="I163">
        <v>1997.05</v>
      </c>
      <c r="J163">
        <f t="shared" si="2"/>
        <v>3366.22</v>
      </c>
    </row>
    <row r="164" ht="14.5" spans="1:11">
      <c r="A164">
        <v>163</v>
      </c>
      <c r="B164" s="3" t="s">
        <v>699</v>
      </c>
      <c r="C164" t="s">
        <v>700</v>
      </c>
      <c r="D164" t="s">
        <v>701</v>
      </c>
      <c r="E164" t="s">
        <v>702</v>
      </c>
      <c r="F164" t="s">
        <v>703</v>
      </c>
      <c r="G164" t="s">
        <v>16</v>
      </c>
      <c r="H164">
        <v>1686.5</v>
      </c>
      <c r="I164">
        <v>1589</v>
      </c>
      <c r="J164">
        <f t="shared" si="2"/>
        <v>3275.5</v>
      </c>
    </row>
    <row r="165" ht="14.5" spans="1:11">
      <c r="A165">
        <v>164</v>
      </c>
      <c r="B165" s="3" t="s">
        <v>704</v>
      </c>
      <c r="C165" t="s">
        <v>705</v>
      </c>
      <c r="D165" t="s">
        <v>706</v>
      </c>
      <c r="E165" t="s">
        <v>707</v>
      </c>
      <c r="F165" s="4">
        <v>34274</v>
      </c>
      <c r="G165" t="s">
        <v>708</v>
      </c>
      <c r="H165">
        <v>2015</v>
      </c>
      <c r="I165">
        <v>1885</v>
      </c>
      <c r="J165">
        <f t="shared" si="2"/>
        <v>3900</v>
      </c>
      <c r="K165" t="s">
        <v>709</v>
      </c>
    </row>
    <row r="166" ht="14.5" spans="1:11">
      <c r="A166">
        <v>165</v>
      </c>
      <c r="B166" s="3" t="s">
        <v>710</v>
      </c>
      <c r="C166" t="s">
        <v>711</v>
      </c>
      <c r="D166" t="s">
        <v>712</v>
      </c>
      <c r="E166" t="s">
        <v>164</v>
      </c>
      <c r="F166" t="s">
        <v>713</v>
      </c>
      <c r="G166" t="s">
        <v>16</v>
      </c>
      <c r="H166">
        <v>1666.5</v>
      </c>
      <c r="I166">
        <v>1589</v>
      </c>
      <c r="J166">
        <f t="shared" si="2"/>
        <v>3255.5</v>
      </c>
    </row>
    <row r="167" ht="14.5" spans="1:11">
      <c r="A167">
        <v>166</v>
      </c>
      <c r="B167" s="3" t="s">
        <v>714</v>
      </c>
      <c r="C167" t="s">
        <v>715</v>
      </c>
      <c r="D167" t="s">
        <v>716</v>
      </c>
      <c r="E167" t="s">
        <v>717</v>
      </c>
      <c r="F167" t="s">
        <v>718</v>
      </c>
      <c r="G167" t="s">
        <v>16</v>
      </c>
      <c r="H167">
        <v>2090</v>
      </c>
      <c r="I167">
        <v>1589</v>
      </c>
      <c r="J167">
        <f t="shared" si="2"/>
        <v>3679</v>
      </c>
    </row>
    <row r="168" ht="14.5" spans="1:11">
      <c r="A168">
        <v>167</v>
      </c>
      <c r="B168" s="3" t="s">
        <v>719</v>
      </c>
      <c r="C168" t="s">
        <v>720</v>
      </c>
      <c r="D168" t="s">
        <v>721</v>
      </c>
      <c r="E168" t="s">
        <v>439</v>
      </c>
      <c r="F168" t="s">
        <v>722</v>
      </c>
      <c r="G168" t="s">
        <v>708</v>
      </c>
      <c r="H168">
        <v>1647.36</v>
      </c>
      <c r="I168">
        <v>2008.94</v>
      </c>
      <c r="J168">
        <f t="shared" si="2"/>
        <v>3656.3</v>
      </c>
    </row>
    <row r="169" ht="14.5" spans="1:11">
      <c r="A169">
        <v>168</v>
      </c>
      <c r="B169" s="3" t="s">
        <v>723</v>
      </c>
      <c r="C169" t="s">
        <v>724</v>
      </c>
      <c r="D169" t="s">
        <v>725</v>
      </c>
      <c r="E169" t="s">
        <v>439</v>
      </c>
      <c r="F169" t="s">
        <v>726</v>
      </c>
      <c r="G169" t="s">
        <v>708</v>
      </c>
      <c r="H169" s="1">
        <v>1488.5</v>
      </c>
      <c r="I169">
        <v>1589</v>
      </c>
      <c r="J169">
        <f t="shared" si="2"/>
        <v>3077.5</v>
      </c>
      <c r="K169" t="s">
        <v>727</v>
      </c>
    </row>
    <row r="170" ht="14.5" spans="1:11">
      <c r="A170">
        <v>169</v>
      </c>
      <c r="B170" s="3" t="s">
        <v>728</v>
      </c>
      <c r="C170" t="s">
        <v>729</v>
      </c>
      <c r="D170" t="s">
        <v>730</v>
      </c>
      <c r="E170" t="s">
        <v>97</v>
      </c>
      <c r="F170" t="s">
        <v>731</v>
      </c>
      <c r="G170" t="s">
        <v>16</v>
      </c>
      <c r="H170">
        <v>1936</v>
      </c>
      <c r="I170">
        <v>1589</v>
      </c>
      <c r="J170">
        <f t="shared" si="2"/>
        <v>3525</v>
      </c>
    </row>
    <row r="171" ht="14.5" spans="1:11">
      <c r="A171">
        <v>170</v>
      </c>
      <c r="B171" s="3" t="s">
        <v>732</v>
      </c>
      <c r="C171" t="s">
        <v>733</v>
      </c>
      <c r="D171" t="s">
        <v>734</v>
      </c>
      <c r="E171" t="s">
        <v>125</v>
      </c>
      <c r="F171" s="4">
        <v>39965</v>
      </c>
      <c r="G171" t="s">
        <v>16</v>
      </c>
      <c r="H171">
        <v>2049</v>
      </c>
      <c r="I171">
        <v>1589</v>
      </c>
      <c r="J171">
        <f t="shared" si="2"/>
        <v>3638</v>
      </c>
    </row>
    <row r="172" ht="14.5" spans="1:11">
      <c r="A172">
        <v>171</v>
      </c>
      <c r="B172" s="3" t="s">
        <v>735</v>
      </c>
      <c r="C172" t="s">
        <v>736</v>
      </c>
      <c r="D172" t="s">
        <v>582</v>
      </c>
      <c r="E172" t="s">
        <v>28</v>
      </c>
      <c r="F172" s="4">
        <v>39904</v>
      </c>
      <c r="G172" t="s">
        <v>16</v>
      </c>
      <c r="H172">
        <v>1864</v>
      </c>
      <c r="I172">
        <v>1589</v>
      </c>
      <c r="J172">
        <f t="shared" si="2"/>
        <v>3453</v>
      </c>
    </row>
    <row r="173" ht="14.5" spans="1:11">
      <c r="A173">
        <v>172</v>
      </c>
      <c r="B173" s="3" t="s">
        <v>737</v>
      </c>
      <c r="C173" t="s">
        <v>738</v>
      </c>
      <c r="D173" t="s">
        <v>739</v>
      </c>
      <c r="E173" t="s">
        <v>740</v>
      </c>
      <c r="F173" s="4">
        <v>40634</v>
      </c>
      <c r="G173" t="s">
        <v>16</v>
      </c>
      <c r="H173">
        <v>1953</v>
      </c>
      <c r="I173">
        <v>1589</v>
      </c>
      <c r="J173">
        <f t="shared" si="2"/>
        <v>3542</v>
      </c>
    </row>
    <row r="174" ht="14.5" spans="1:11">
      <c r="A174">
        <v>173</v>
      </c>
      <c r="B174" s="3" t="s">
        <v>741</v>
      </c>
      <c r="C174" t="s">
        <v>742</v>
      </c>
      <c r="D174" t="s">
        <v>743</v>
      </c>
      <c r="E174" t="s">
        <v>744</v>
      </c>
      <c r="F174" t="s">
        <v>745</v>
      </c>
      <c r="G174" t="s">
        <v>16</v>
      </c>
      <c r="H174">
        <v>1491.5</v>
      </c>
      <c r="I174">
        <v>1589</v>
      </c>
      <c r="J174">
        <f t="shared" si="2"/>
        <v>3080.5</v>
      </c>
    </row>
    <row r="175" ht="14.5" spans="1:11">
      <c r="A175">
        <v>174</v>
      </c>
      <c r="B175" s="3" t="s">
        <v>746</v>
      </c>
      <c r="C175" t="s">
        <v>747</v>
      </c>
      <c r="D175" t="s">
        <v>748</v>
      </c>
      <c r="E175" t="s">
        <v>463</v>
      </c>
      <c r="F175" t="s">
        <v>749</v>
      </c>
      <c r="G175" t="s">
        <v>16</v>
      </c>
      <c r="H175">
        <v>1420</v>
      </c>
      <c r="I175">
        <v>1589</v>
      </c>
      <c r="J175">
        <f t="shared" si="2"/>
        <v>3009</v>
      </c>
    </row>
    <row r="176" ht="14.5" spans="1:11">
      <c r="A176">
        <v>175</v>
      </c>
      <c r="B176" s="6" t="s">
        <v>750</v>
      </c>
      <c r="C176" s="7" t="s">
        <v>751</v>
      </c>
      <c r="D176" s="7" t="s">
        <v>752</v>
      </c>
      <c r="E176" s="7" t="s">
        <v>753</v>
      </c>
      <c r="F176" s="7" t="s">
        <v>754</v>
      </c>
      <c r="G176" s="7" t="s">
        <v>16</v>
      </c>
      <c r="H176">
        <v>1863.5</v>
      </c>
      <c r="I176">
        <v>1589</v>
      </c>
      <c r="J176">
        <f t="shared" si="2"/>
        <v>3452.5</v>
      </c>
      <c r="K176" t="s">
        <v>755</v>
      </c>
    </row>
    <row r="177" ht="14.5" spans="1:10">
      <c r="A177">
        <v>176</v>
      </c>
      <c r="B177" s="3" t="s">
        <v>756</v>
      </c>
      <c r="C177" t="s">
        <v>757</v>
      </c>
      <c r="D177" t="s">
        <v>758</v>
      </c>
      <c r="E177" t="s">
        <v>759</v>
      </c>
      <c r="F177" t="s">
        <v>130</v>
      </c>
      <c r="G177" t="s">
        <v>16</v>
      </c>
      <c r="H177">
        <v>1753</v>
      </c>
      <c r="I177">
        <v>1589</v>
      </c>
      <c r="J177">
        <f t="shared" si="2"/>
        <v>3342</v>
      </c>
    </row>
    <row r="178" ht="14.5" spans="1:10">
      <c r="A178">
        <v>177</v>
      </c>
      <c r="B178" s="3" t="s">
        <v>760</v>
      </c>
      <c r="C178" t="s">
        <v>761</v>
      </c>
      <c r="D178" t="s">
        <v>762</v>
      </c>
      <c r="E178" t="s">
        <v>763</v>
      </c>
      <c r="F178" t="s">
        <v>670</v>
      </c>
      <c r="G178" t="s">
        <v>16</v>
      </c>
      <c r="H178">
        <v>2090</v>
      </c>
      <c r="I178">
        <v>1589</v>
      </c>
      <c r="J178">
        <f t="shared" si="2"/>
        <v>3679</v>
      </c>
    </row>
    <row r="179" ht="14.5" spans="1:10">
      <c r="A179">
        <v>178</v>
      </c>
      <c r="B179" s="3" t="s">
        <v>764</v>
      </c>
      <c r="C179" t="s">
        <v>765</v>
      </c>
      <c r="D179" t="s">
        <v>766</v>
      </c>
      <c r="E179" t="s">
        <v>28</v>
      </c>
      <c r="F179" t="s">
        <v>130</v>
      </c>
      <c r="G179" t="s">
        <v>16</v>
      </c>
      <c r="H179">
        <v>1753</v>
      </c>
      <c r="I179">
        <v>1589</v>
      </c>
      <c r="J179">
        <f t="shared" si="2"/>
        <v>3342</v>
      </c>
    </row>
    <row r="180" ht="14.5" spans="1:10">
      <c r="A180">
        <v>179</v>
      </c>
      <c r="B180" s="3" t="s">
        <v>767</v>
      </c>
      <c r="C180" t="s">
        <v>768</v>
      </c>
      <c r="D180" t="s">
        <v>769</v>
      </c>
      <c r="E180" t="s">
        <v>129</v>
      </c>
      <c r="F180" t="s">
        <v>770</v>
      </c>
      <c r="G180" t="s">
        <v>708</v>
      </c>
      <c r="H180">
        <v>1369.17</v>
      </c>
      <c r="I180">
        <v>1997.05</v>
      </c>
      <c r="J180">
        <f t="shared" si="2"/>
        <v>3366.22</v>
      </c>
    </row>
    <row r="181" spans="1:10">
      <c r="A181">
        <v>180</v>
      </c>
      <c r="B181" s="5" t="s">
        <v>771</v>
      </c>
      <c r="C181" t="s">
        <v>772</v>
      </c>
      <c r="D181" t="s">
        <v>773</v>
      </c>
      <c r="E181" t="s">
        <v>191</v>
      </c>
      <c r="F181" t="s">
        <v>659</v>
      </c>
      <c r="G181" t="s">
        <v>16</v>
      </c>
      <c r="H181">
        <v>1953</v>
      </c>
      <c r="I181">
        <v>1589</v>
      </c>
      <c r="J181">
        <f t="shared" si="2"/>
        <v>3542</v>
      </c>
    </row>
    <row r="182" ht="14.5" spans="1:10">
      <c r="A182">
        <v>181</v>
      </c>
      <c r="B182" s="3" t="s">
        <v>774</v>
      </c>
      <c r="C182" t="s">
        <v>775</v>
      </c>
      <c r="D182" t="s">
        <v>776</v>
      </c>
      <c r="E182" t="s">
        <v>777</v>
      </c>
      <c r="F182" t="s">
        <v>29</v>
      </c>
      <c r="G182" t="s">
        <v>16</v>
      </c>
      <c r="H182">
        <v>2007</v>
      </c>
      <c r="I182">
        <v>1589</v>
      </c>
      <c r="J182">
        <f t="shared" si="2"/>
        <v>3596</v>
      </c>
    </row>
    <row r="183" spans="1:10">
      <c r="A183">
        <v>182</v>
      </c>
      <c r="B183" s="5" t="s">
        <v>778</v>
      </c>
      <c r="C183" t="s">
        <v>779</v>
      </c>
      <c r="D183" t="s">
        <v>780</v>
      </c>
      <c r="E183" t="s">
        <v>781</v>
      </c>
      <c r="F183" t="s">
        <v>659</v>
      </c>
      <c r="G183" t="s">
        <v>16</v>
      </c>
      <c r="H183">
        <v>1934</v>
      </c>
      <c r="I183">
        <v>1589</v>
      </c>
      <c r="J183">
        <f t="shared" si="2"/>
        <v>3523</v>
      </c>
    </row>
    <row r="184" ht="14.5" spans="1:10">
      <c r="A184">
        <v>183</v>
      </c>
      <c r="B184" s="3" t="s">
        <v>782</v>
      </c>
      <c r="C184" t="s">
        <v>783</v>
      </c>
      <c r="D184" t="s">
        <v>784</v>
      </c>
      <c r="E184" t="s">
        <v>474</v>
      </c>
      <c r="F184" t="s">
        <v>785</v>
      </c>
      <c r="G184" t="s">
        <v>16</v>
      </c>
      <c r="H184">
        <v>1814.2</v>
      </c>
      <c r="I184">
        <v>1589</v>
      </c>
      <c r="J184">
        <f t="shared" si="2"/>
        <v>3403.2</v>
      </c>
    </row>
    <row r="185" ht="14.5" spans="1:10">
      <c r="A185">
        <v>184</v>
      </c>
      <c r="B185" s="3" t="s">
        <v>786</v>
      </c>
      <c r="C185" t="s">
        <v>787</v>
      </c>
      <c r="D185" t="s">
        <v>788</v>
      </c>
      <c r="E185" t="s">
        <v>281</v>
      </c>
      <c r="F185" t="s">
        <v>548</v>
      </c>
      <c r="G185" t="s">
        <v>16</v>
      </c>
      <c r="H185">
        <v>1892</v>
      </c>
      <c r="I185">
        <v>1589</v>
      </c>
      <c r="J185">
        <f t="shared" si="2"/>
        <v>3481</v>
      </c>
    </row>
    <row r="186" ht="14.5" spans="1:10">
      <c r="A186">
        <v>185</v>
      </c>
      <c r="B186" s="3" t="s">
        <v>789</v>
      </c>
      <c r="C186" t="s">
        <v>790</v>
      </c>
      <c r="D186" t="s">
        <v>791</v>
      </c>
      <c r="E186" t="s">
        <v>28</v>
      </c>
      <c r="F186" t="s">
        <v>792</v>
      </c>
      <c r="G186" t="s">
        <v>16</v>
      </c>
      <c r="H186">
        <v>2090</v>
      </c>
      <c r="I186">
        <v>1589</v>
      </c>
      <c r="J186">
        <f t="shared" si="2"/>
        <v>3679</v>
      </c>
    </row>
    <row r="187" ht="14.5" spans="1:10">
      <c r="A187">
        <v>186</v>
      </c>
      <c r="B187" s="3" t="s">
        <v>793</v>
      </c>
      <c r="C187" t="s">
        <v>794</v>
      </c>
      <c r="D187" t="s">
        <v>795</v>
      </c>
      <c r="E187" t="s">
        <v>129</v>
      </c>
      <c r="F187" t="s">
        <v>796</v>
      </c>
      <c r="G187" t="s">
        <v>16</v>
      </c>
      <c r="H187">
        <v>1863.5</v>
      </c>
      <c r="I187">
        <v>1589</v>
      </c>
      <c r="J187">
        <f t="shared" si="2"/>
        <v>3452.5</v>
      </c>
    </row>
    <row r="188" ht="14.5" spans="1:10">
      <c r="A188">
        <v>187</v>
      </c>
      <c r="B188" s="3" t="s">
        <v>797</v>
      </c>
      <c r="C188" t="s">
        <v>798</v>
      </c>
      <c r="D188" t="s">
        <v>799</v>
      </c>
      <c r="E188" t="s">
        <v>234</v>
      </c>
      <c r="F188" t="s">
        <v>770</v>
      </c>
      <c r="G188" t="s">
        <v>708</v>
      </c>
      <c r="H188">
        <v>1607.76</v>
      </c>
      <c r="I188">
        <v>2007.25</v>
      </c>
      <c r="J188">
        <f t="shared" si="2"/>
        <v>3615.01</v>
      </c>
    </row>
    <row r="189" ht="14.5" spans="1:10">
      <c r="A189">
        <v>188</v>
      </c>
      <c r="B189" s="3" t="s">
        <v>800</v>
      </c>
      <c r="C189" t="s">
        <v>801</v>
      </c>
      <c r="D189" t="s">
        <v>802</v>
      </c>
      <c r="E189" t="s">
        <v>763</v>
      </c>
      <c r="F189" t="s">
        <v>803</v>
      </c>
      <c r="G189" t="s">
        <v>16</v>
      </c>
      <c r="H189">
        <v>2214</v>
      </c>
      <c r="I189">
        <v>1589</v>
      </c>
      <c r="J189">
        <f t="shared" si="2"/>
        <v>3803</v>
      </c>
    </row>
    <row r="190" ht="14.5" spans="1:10">
      <c r="A190">
        <v>189</v>
      </c>
      <c r="B190" s="3" t="s">
        <v>804</v>
      </c>
      <c r="C190" t="s">
        <v>805</v>
      </c>
      <c r="D190" t="s">
        <v>806</v>
      </c>
      <c r="E190" t="s">
        <v>807</v>
      </c>
      <c r="F190" t="s">
        <v>808</v>
      </c>
      <c r="G190" t="s">
        <v>16</v>
      </c>
      <c r="H190">
        <v>1897</v>
      </c>
      <c r="I190">
        <v>1589</v>
      </c>
      <c r="J190">
        <f t="shared" si="2"/>
        <v>3486</v>
      </c>
    </row>
    <row r="191" ht="14.5" spans="1:10">
      <c r="A191">
        <v>190</v>
      </c>
      <c r="B191" s="3" t="s">
        <v>809</v>
      </c>
      <c r="C191" t="s">
        <v>810</v>
      </c>
      <c r="D191" t="s">
        <v>811</v>
      </c>
      <c r="E191" t="s">
        <v>552</v>
      </c>
      <c r="F191" t="s">
        <v>812</v>
      </c>
      <c r="G191" t="s">
        <v>708</v>
      </c>
      <c r="H191">
        <v>1343.43</v>
      </c>
      <c r="I191">
        <v>1811.99</v>
      </c>
      <c r="J191">
        <f t="shared" si="2"/>
        <v>3155.42</v>
      </c>
    </row>
    <row r="192" ht="14.5" spans="1:10">
      <c r="A192">
        <v>191</v>
      </c>
      <c r="B192" s="3" t="s">
        <v>813</v>
      </c>
      <c r="C192" t="s">
        <v>814</v>
      </c>
      <c r="D192" t="s">
        <v>815</v>
      </c>
      <c r="E192" t="s">
        <v>816</v>
      </c>
      <c r="F192" s="4">
        <v>37591</v>
      </c>
      <c r="G192" t="s">
        <v>16</v>
      </c>
      <c r="H192">
        <v>1689.5</v>
      </c>
      <c r="I192">
        <v>1589</v>
      </c>
      <c r="J192">
        <f t="shared" si="2"/>
        <v>3278.5</v>
      </c>
    </row>
    <row r="193" ht="14.5" spans="1:10">
      <c r="A193">
        <v>192</v>
      </c>
      <c r="B193" s="3" t="s">
        <v>817</v>
      </c>
      <c r="C193" t="s">
        <v>818</v>
      </c>
      <c r="D193" t="s">
        <v>819</v>
      </c>
      <c r="E193" s="4">
        <v>23316</v>
      </c>
      <c r="F193" s="4">
        <v>34851</v>
      </c>
      <c r="G193" t="s">
        <v>16</v>
      </c>
      <c r="H193">
        <v>1522</v>
      </c>
      <c r="I193">
        <v>1589</v>
      </c>
      <c r="J193">
        <f t="shared" si="2"/>
        <v>3111</v>
      </c>
    </row>
    <row r="194" ht="14.5" spans="1:10">
      <c r="A194">
        <v>193</v>
      </c>
      <c r="B194" s="3" t="s">
        <v>820</v>
      </c>
      <c r="C194" t="s">
        <v>821</v>
      </c>
      <c r="D194" t="s">
        <v>384</v>
      </c>
      <c r="E194" t="s">
        <v>110</v>
      </c>
      <c r="F194" t="s">
        <v>822</v>
      </c>
      <c r="G194" t="s">
        <v>16</v>
      </c>
      <c r="H194">
        <v>1528.5</v>
      </c>
      <c r="I194">
        <v>1589</v>
      </c>
      <c r="J194">
        <f t="shared" si="2"/>
        <v>3117.5</v>
      </c>
    </row>
    <row r="195" ht="14.5" spans="1:10">
      <c r="A195">
        <v>194</v>
      </c>
      <c r="B195" s="3" t="s">
        <v>823</v>
      </c>
      <c r="C195" t="s">
        <v>824</v>
      </c>
      <c r="D195" t="s">
        <v>825</v>
      </c>
      <c r="E195" t="s">
        <v>826</v>
      </c>
      <c r="F195" t="s">
        <v>359</v>
      </c>
      <c r="G195" t="s">
        <v>16</v>
      </c>
      <c r="H195">
        <v>1528.5</v>
      </c>
      <c r="I195">
        <v>1589</v>
      </c>
      <c r="J195">
        <f t="shared" ref="J195:J258" si="3">SUM(H195:I195)</f>
        <v>3117.5</v>
      </c>
    </row>
    <row r="196" spans="1:10">
      <c r="A196">
        <v>195</v>
      </c>
      <c r="B196" s="5" t="s">
        <v>827</v>
      </c>
      <c r="C196" t="s">
        <v>828</v>
      </c>
      <c r="D196" t="s">
        <v>829</v>
      </c>
      <c r="E196" t="s">
        <v>830</v>
      </c>
      <c r="F196" t="s">
        <v>392</v>
      </c>
      <c r="G196" t="s">
        <v>16</v>
      </c>
      <c r="H196">
        <v>2090</v>
      </c>
      <c r="I196">
        <v>1589</v>
      </c>
      <c r="J196">
        <f t="shared" si="3"/>
        <v>3679</v>
      </c>
    </row>
    <row r="197" ht="14.5" spans="1:10">
      <c r="A197">
        <v>196</v>
      </c>
      <c r="B197" s="3" t="s">
        <v>831</v>
      </c>
      <c r="C197" t="s">
        <v>832</v>
      </c>
      <c r="D197" t="s">
        <v>833</v>
      </c>
      <c r="E197" t="s">
        <v>655</v>
      </c>
      <c r="F197" t="s">
        <v>674</v>
      </c>
      <c r="G197" t="s">
        <v>16</v>
      </c>
      <c r="H197">
        <v>1901</v>
      </c>
      <c r="I197">
        <v>1589</v>
      </c>
      <c r="J197">
        <f t="shared" si="3"/>
        <v>3490</v>
      </c>
    </row>
    <row r="198" ht="14.5" spans="1:10">
      <c r="A198">
        <v>197</v>
      </c>
      <c r="B198" s="3" t="s">
        <v>834</v>
      </c>
      <c r="C198" t="s">
        <v>835</v>
      </c>
      <c r="D198" t="s">
        <v>836</v>
      </c>
      <c r="E198" t="s">
        <v>837</v>
      </c>
      <c r="F198" t="s">
        <v>838</v>
      </c>
      <c r="G198" t="s">
        <v>839</v>
      </c>
      <c r="H198">
        <v>1568.16</v>
      </c>
      <c r="I198">
        <v>2005.55</v>
      </c>
      <c r="J198">
        <f t="shared" si="3"/>
        <v>3573.71</v>
      </c>
    </row>
    <row r="199" ht="14.5" spans="1:10">
      <c r="A199">
        <v>198</v>
      </c>
      <c r="B199" s="3" t="s">
        <v>840</v>
      </c>
      <c r="C199" t="s">
        <v>841</v>
      </c>
      <c r="D199" t="s">
        <v>842</v>
      </c>
      <c r="E199" t="s">
        <v>439</v>
      </c>
      <c r="F199" t="s">
        <v>58</v>
      </c>
      <c r="G199"/>
      <c r="H199">
        <v>1432.53</v>
      </c>
      <c r="I199">
        <v>1999.76</v>
      </c>
      <c r="J199">
        <f t="shared" si="3"/>
        <v>3432.29</v>
      </c>
    </row>
    <row r="200" ht="14.5" spans="1:10">
      <c r="A200">
        <v>199</v>
      </c>
      <c r="B200" s="3" t="s">
        <v>843</v>
      </c>
      <c r="C200" t="s">
        <v>844</v>
      </c>
      <c r="D200" t="s">
        <v>845</v>
      </c>
      <c r="E200" t="s">
        <v>846</v>
      </c>
      <c r="F200" t="s">
        <v>847</v>
      </c>
      <c r="G200" t="s">
        <v>16</v>
      </c>
      <c r="H200">
        <v>1592.5</v>
      </c>
      <c r="I200">
        <v>1589</v>
      </c>
      <c r="J200">
        <f t="shared" si="3"/>
        <v>3181.5</v>
      </c>
    </row>
    <row r="201" ht="14.5" spans="1:10">
      <c r="A201">
        <v>200</v>
      </c>
      <c r="B201" s="3" t="s">
        <v>848</v>
      </c>
      <c r="C201" t="s">
        <v>849</v>
      </c>
      <c r="D201" t="s">
        <v>850</v>
      </c>
      <c r="E201" t="s">
        <v>851</v>
      </c>
      <c r="F201" t="s">
        <v>852</v>
      </c>
      <c r="G201" t="s">
        <v>16</v>
      </c>
      <c r="H201">
        <v>1789</v>
      </c>
      <c r="I201">
        <v>1589</v>
      </c>
      <c r="J201">
        <f t="shared" si="3"/>
        <v>3378</v>
      </c>
    </row>
    <row r="202" ht="14.5" spans="1:10">
      <c r="A202">
        <v>201</v>
      </c>
      <c r="B202" s="3" t="s">
        <v>853</v>
      </c>
      <c r="C202" t="s">
        <v>854</v>
      </c>
      <c r="D202" s="4">
        <v>15256</v>
      </c>
      <c r="E202" t="s">
        <v>855</v>
      </c>
      <c r="F202" s="4">
        <v>35339</v>
      </c>
      <c r="G202" t="s">
        <v>16</v>
      </c>
      <c r="H202">
        <v>1522</v>
      </c>
      <c r="I202">
        <v>1589</v>
      </c>
      <c r="J202">
        <f t="shared" si="3"/>
        <v>3111</v>
      </c>
    </row>
    <row r="203" ht="14.5" spans="1:10">
      <c r="A203">
        <v>202</v>
      </c>
      <c r="B203" s="3" t="s">
        <v>856</v>
      </c>
      <c r="C203" t="s">
        <v>857</v>
      </c>
      <c r="D203" t="s">
        <v>858</v>
      </c>
      <c r="E203" t="s">
        <v>82</v>
      </c>
      <c r="F203" t="s">
        <v>859</v>
      </c>
      <c r="G203" t="s">
        <v>16</v>
      </c>
      <c r="H203">
        <v>2090</v>
      </c>
      <c r="I203">
        <v>1589</v>
      </c>
      <c r="J203">
        <f t="shared" si="3"/>
        <v>3679</v>
      </c>
    </row>
    <row r="204" spans="1:10">
      <c r="A204">
        <v>203</v>
      </c>
      <c r="B204" s="5" t="s">
        <v>860</v>
      </c>
      <c r="C204" t="s">
        <v>861</v>
      </c>
      <c r="D204" t="s">
        <v>862</v>
      </c>
      <c r="E204" t="s">
        <v>92</v>
      </c>
      <c r="F204" t="s">
        <v>863</v>
      </c>
      <c r="G204" t="s">
        <v>16</v>
      </c>
      <c r="H204">
        <v>2007</v>
      </c>
      <c r="I204">
        <v>1589</v>
      </c>
      <c r="J204">
        <f t="shared" si="3"/>
        <v>3596</v>
      </c>
    </row>
    <row r="205" ht="14.5" spans="1:10">
      <c r="A205">
        <v>204</v>
      </c>
      <c r="B205" s="3" t="s">
        <v>864</v>
      </c>
      <c r="C205" t="s">
        <v>865</v>
      </c>
      <c r="D205" t="s">
        <v>866</v>
      </c>
      <c r="E205" s="4">
        <v>29099</v>
      </c>
      <c r="F205" t="s">
        <v>867</v>
      </c>
      <c r="G205" t="s">
        <v>16</v>
      </c>
      <c r="H205">
        <v>1815</v>
      </c>
      <c r="I205">
        <v>1589</v>
      </c>
      <c r="J205">
        <f t="shared" si="3"/>
        <v>3404</v>
      </c>
    </row>
    <row r="206" ht="14.5" spans="1:10">
      <c r="A206">
        <v>205</v>
      </c>
      <c r="B206" s="3" t="s">
        <v>868</v>
      </c>
      <c r="C206" t="s">
        <v>869</v>
      </c>
      <c r="D206" t="s">
        <v>870</v>
      </c>
      <c r="E206" t="s">
        <v>539</v>
      </c>
      <c r="F206" t="s">
        <v>871</v>
      </c>
      <c r="G206" t="s">
        <v>16</v>
      </c>
      <c r="H206">
        <v>1752</v>
      </c>
      <c r="I206">
        <v>1589</v>
      </c>
      <c r="J206">
        <f t="shared" si="3"/>
        <v>3341</v>
      </c>
    </row>
    <row r="207" ht="14.5" spans="1:10">
      <c r="A207">
        <v>206</v>
      </c>
      <c r="B207" s="3" t="s">
        <v>872</v>
      </c>
      <c r="C207" t="s">
        <v>873</v>
      </c>
      <c r="D207" t="s">
        <v>874</v>
      </c>
      <c r="E207" t="s">
        <v>875</v>
      </c>
      <c r="F207" t="s">
        <v>597</v>
      </c>
      <c r="G207" t="s">
        <v>839</v>
      </c>
      <c r="H207">
        <v>1568.16</v>
      </c>
      <c r="I207">
        <v>2005.55</v>
      </c>
      <c r="J207">
        <f t="shared" si="3"/>
        <v>3573.71</v>
      </c>
    </row>
    <row r="208" ht="14.5" spans="1:10">
      <c r="A208">
        <v>207</v>
      </c>
      <c r="B208" s="3" t="s">
        <v>876</v>
      </c>
      <c r="C208" t="s">
        <v>877</v>
      </c>
      <c r="D208" t="s">
        <v>878</v>
      </c>
      <c r="E208" t="s">
        <v>531</v>
      </c>
      <c r="F208" t="s">
        <v>879</v>
      </c>
      <c r="G208" t="s">
        <v>16</v>
      </c>
      <c r="H208">
        <v>1901</v>
      </c>
      <c r="I208">
        <v>1589</v>
      </c>
      <c r="J208">
        <f t="shared" si="3"/>
        <v>3490</v>
      </c>
    </row>
    <row r="209" ht="14.5" spans="1:10">
      <c r="A209">
        <v>208</v>
      </c>
      <c r="B209" s="3" t="s">
        <v>880</v>
      </c>
      <c r="C209" t="s">
        <v>881</v>
      </c>
      <c r="D209" t="s">
        <v>882</v>
      </c>
      <c r="E209" t="s">
        <v>164</v>
      </c>
      <c r="F209" t="s">
        <v>883</v>
      </c>
      <c r="G209" t="s">
        <v>16</v>
      </c>
      <c r="H209">
        <v>2049</v>
      </c>
      <c r="I209">
        <v>1589</v>
      </c>
      <c r="J209">
        <f t="shared" si="3"/>
        <v>3638</v>
      </c>
    </row>
    <row r="210" ht="14.5" spans="1:10">
      <c r="A210">
        <v>209</v>
      </c>
      <c r="B210" s="3" t="s">
        <v>884</v>
      </c>
      <c r="C210" t="s">
        <v>885</v>
      </c>
      <c r="D210" t="s">
        <v>886</v>
      </c>
      <c r="E210" t="s">
        <v>129</v>
      </c>
      <c r="F210" t="s">
        <v>557</v>
      </c>
      <c r="G210" t="s">
        <v>16</v>
      </c>
      <c r="H210">
        <v>2049</v>
      </c>
      <c r="I210">
        <v>1589</v>
      </c>
      <c r="J210">
        <f t="shared" si="3"/>
        <v>3638</v>
      </c>
    </row>
    <row r="211" ht="14.5" spans="1:10">
      <c r="A211">
        <v>210</v>
      </c>
      <c r="B211" s="3" t="s">
        <v>887</v>
      </c>
      <c r="C211" t="s">
        <v>888</v>
      </c>
      <c r="D211" t="s">
        <v>889</v>
      </c>
      <c r="E211" t="s">
        <v>890</v>
      </c>
      <c r="F211" t="s">
        <v>891</v>
      </c>
      <c r="G211" t="s">
        <v>16</v>
      </c>
      <c r="H211">
        <v>1934</v>
      </c>
      <c r="I211">
        <v>1589</v>
      </c>
      <c r="J211">
        <f t="shared" si="3"/>
        <v>3523</v>
      </c>
    </row>
    <row r="212" ht="14.5" spans="1:10">
      <c r="A212">
        <v>211</v>
      </c>
      <c r="B212" s="3" t="s">
        <v>892</v>
      </c>
      <c r="C212" t="s">
        <v>893</v>
      </c>
      <c r="D212" t="s">
        <v>894</v>
      </c>
      <c r="E212" t="s">
        <v>895</v>
      </c>
      <c r="F212" t="s">
        <v>785</v>
      </c>
      <c r="G212" t="s">
        <v>16</v>
      </c>
      <c r="H212">
        <v>1691.1</v>
      </c>
      <c r="I212">
        <v>1589</v>
      </c>
      <c r="J212">
        <f t="shared" si="3"/>
        <v>3280.1</v>
      </c>
    </row>
    <row r="213" ht="14.5" spans="1:10">
      <c r="A213">
        <v>212</v>
      </c>
      <c r="B213" s="3" t="s">
        <v>896</v>
      </c>
      <c r="C213" t="s">
        <v>897</v>
      </c>
      <c r="D213" t="s">
        <v>898</v>
      </c>
      <c r="E213" t="s">
        <v>439</v>
      </c>
      <c r="F213" t="s">
        <v>899</v>
      </c>
      <c r="G213"/>
      <c r="H213">
        <v>1432.53</v>
      </c>
      <c r="I213">
        <v>1999.76</v>
      </c>
      <c r="J213">
        <f t="shared" si="3"/>
        <v>3432.29</v>
      </c>
    </row>
    <row r="214" ht="14.5" spans="1:10">
      <c r="A214">
        <v>213</v>
      </c>
      <c r="B214" s="3" t="s">
        <v>900</v>
      </c>
      <c r="C214" t="s">
        <v>901</v>
      </c>
      <c r="D214" t="s">
        <v>902</v>
      </c>
      <c r="E214" t="s">
        <v>110</v>
      </c>
      <c r="F214" t="s">
        <v>21</v>
      </c>
      <c r="G214" t="s">
        <v>16</v>
      </c>
      <c r="H214">
        <v>1934</v>
      </c>
      <c r="I214">
        <v>1589</v>
      </c>
      <c r="J214">
        <f t="shared" si="3"/>
        <v>3523</v>
      </c>
    </row>
    <row r="215" ht="14.5" spans="1:10">
      <c r="A215">
        <v>214</v>
      </c>
      <c r="B215" s="3" t="s">
        <v>903</v>
      </c>
      <c r="C215" t="s">
        <v>904</v>
      </c>
      <c r="D215" t="s">
        <v>905</v>
      </c>
      <c r="E215" t="s">
        <v>561</v>
      </c>
      <c r="F215" t="s">
        <v>906</v>
      </c>
      <c r="G215"/>
      <c r="H215">
        <v>1432.53</v>
      </c>
      <c r="I215">
        <v>1999.76</v>
      </c>
      <c r="J215">
        <f t="shared" si="3"/>
        <v>3432.29</v>
      </c>
    </row>
    <row r="216" ht="14.5" spans="1:10">
      <c r="A216">
        <v>215</v>
      </c>
      <c r="B216" s="3" t="s">
        <v>907</v>
      </c>
      <c r="C216" t="s">
        <v>908</v>
      </c>
      <c r="D216" t="s">
        <v>909</v>
      </c>
      <c r="E216" t="s">
        <v>220</v>
      </c>
      <c r="F216" t="s">
        <v>557</v>
      </c>
      <c r="G216" t="s">
        <v>16</v>
      </c>
      <c r="H216">
        <v>1831</v>
      </c>
      <c r="I216">
        <v>1589</v>
      </c>
      <c r="J216">
        <f t="shared" si="3"/>
        <v>3420</v>
      </c>
    </row>
    <row r="217" ht="14.5" spans="1:10">
      <c r="A217">
        <v>216</v>
      </c>
      <c r="B217" s="3" t="s">
        <v>910</v>
      </c>
      <c r="C217" t="s">
        <v>911</v>
      </c>
      <c r="D217" t="s">
        <v>912</v>
      </c>
      <c r="E217" t="s">
        <v>87</v>
      </c>
      <c r="F217" t="s">
        <v>215</v>
      </c>
      <c r="G217"/>
      <c r="H217">
        <v>1432.53</v>
      </c>
      <c r="I217">
        <v>1999.76</v>
      </c>
      <c r="J217">
        <f t="shared" si="3"/>
        <v>3432.29</v>
      </c>
    </row>
    <row r="218" ht="14.5" spans="1:10">
      <c r="A218">
        <v>217</v>
      </c>
      <c r="B218" s="3" t="s">
        <v>913</v>
      </c>
      <c r="C218" t="s">
        <v>914</v>
      </c>
      <c r="D218" t="s">
        <v>915</v>
      </c>
      <c r="E218" t="s">
        <v>331</v>
      </c>
      <c r="F218" t="s">
        <v>332</v>
      </c>
      <c r="G218" t="s">
        <v>16</v>
      </c>
      <c r="H218">
        <v>1324.59</v>
      </c>
      <c r="I218">
        <v>1995.78</v>
      </c>
      <c r="J218">
        <f t="shared" si="3"/>
        <v>3320.37</v>
      </c>
    </row>
    <row r="219" ht="14.5" spans="1:10">
      <c r="A219">
        <v>218</v>
      </c>
      <c r="B219" s="3" t="s">
        <v>916</v>
      </c>
      <c r="C219" t="s">
        <v>917</v>
      </c>
      <c r="D219" t="s">
        <v>918</v>
      </c>
      <c r="E219" t="s">
        <v>87</v>
      </c>
      <c r="F219" t="s">
        <v>919</v>
      </c>
      <c r="G219" t="s">
        <v>16</v>
      </c>
      <c r="H219">
        <v>1721</v>
      </c>
      <c r="I219">
        <v>1589</v>
      </c>
      <c r="J219">
        <f t="shared" si="3"/>
        <v>3310</v>
      </c>
    </row>
    <row r="220" ht="14.5" spans="1:10">
      <c r="A220">
        <v>219</v>
      </c>
      <c r="B220" s="3" t="s">
        <v>920</v>
      </c>
      <c r="C220" t="s">
        <v>921</v>
      </c>
      <c r="D220" t="s">
        <v>922</v>
      </c>
      <c r="E220" t="s">
        <v>923</v>
      </c>
      <c r="F220" t="s">
        <v>698</v>
      </c>
      <c r="G220" t="s">
        <v>924</v>
      </c>
      <c r="H220">
        <v>1279.94</v>
      </c>
      <c r="I220">
        <v>1995.78</v>
      </c>
      <c r="J220">
        <f t="shared" si="3"/>
        <v>3275.72</v>
      </c>
    </row>
    <row r="221" ht="14.5" spans="1:10">
      <c r="A221">
        <v>220</v>
      </c>
      <c r="B221" s="3" t="s">
        <v>925</v>
      </c>
      <c r="C221" t="s">
        <v>926</v>
      </c>
      <c r="D221" s="4">
        <v>15033</v>
      </c>
      <c r="E221" t="s">
        <v>927</v>
      </c>
      <c r="F221" t="s">
        <v>928</v>
      </c>
      <c r="G221" t="s">
        <v>16</v>
      </c>
      <c r="H221">
        <v>1532.5</v>
      </c>
      <c r="I221">
        <v>1589</v>
      </c>
      <c r="J221">
        <f t="shared" si="3"/>
        <v>3121.5</v>
      </c>
    </row>
    <row r="222" ht="14.5" spans="1:10">
      <c r="A222">
        <v>221</v>
      </c>
      <c r="B222" s="3" t="s">
        <v>929</v>
      </c>
      <c r="C222" t="s">
        <v>930</v>
      </c>
      <c r="D222" t="s">
        <v>931</v>
      </c>
      <c r="E222" t="s">
        <v>186</v>
      </c>
      <c r="F222" t="s">
        <v>932</v>
      </c>
      <c r="G222" t="s">
        <v>16</v>
      </c>
      <c r="H222">
        <v>1864</v>
      </c>
      <c r="I222">
        <v>1589</v>
      </c>
      <c r="J222">
        <f t="shared" si="3"/>
        <v>3453</v>
      </c>
    </row>
    <row r="223" ht="14.5" spans="1:10">
      <c r="A223">
        <v>222</v>
      </c>
      <c r="B223" s="3" t="s">
        <v>933</v>
      </c>
      <c r="C223" t="s">
        <v>934</v>
      </c>
      <c r="D223" t="s">
        <v>935</v>
      </c>
      <c r="E223" t="s">
        <v>666</v>
      </c>
      <c r="F223" t="s">
        <v>936</v>
      </c>
      <c r="G223" t="s">
        <v>78</v>
      </c>
      <c r="H223">
        <v>2140</v>
      </c>
      <c r="I223">
        <v>1885</v>
      </c>
      <c r="J223">
        <f t="shared" si="3"/>
        <v>4025</v>
      </c>
    </row>
    <row r="224" ht="14.5" spans="1:10">
      <c r="A224">
        <v>223</v>
      </c>
      <c r="B224" s="3" t="s">
        <v>937</v>
      </c>
      <c r="C224" t="s">
        <v>938</v>
      </c>
      <c r="D224" t="s">
        <v>939</v>
      </c>
      <c r="E224" t="s">
        <v>110</v>
      </c>
      <c r="F224" t="s">
        <v>686</v>
      </c>
      <c r="G224" t="s">
        <v>78</v>
      </c>
      <c r="H224">
        <v>2705</v>
      </c>
      <c r="I224">
        <v>1885</v>
      </c>
      <c r="J224">
        <f t="shared" si="3"/>
        <v>4590</v>
      </c>
    </row>
    <row r="225" ht="14.5" spans="1:10">
      <c r="A225">
        <v>224</v>
      </c>
      <c r="B225" s="3" t="s">
        <v>940</v>
      </c>
      <c r="C225" t="s">
        <v>941</v>
      </c>
      <c r="D225" t="s">
        <v>942</v>
      </c>
      <c r="E225" t="s">
        <v>105</v>
      </c>
      <c r="F225" t="s">
        <v>943</v>
      </c>
      <c r="H225">
        <v>1607.76</v>
      </c>
      <c r="I225">
        <v>2007.25</v>
      </c>
      <c r="J225">
        <f t="shared" si="3"/>
        <v>3615.01</v>
      </c>
    </row>
    <row r="226" ht="14.5" spans="1:10">
      <c r="A226">
        <v>225</v>
      </c>
      <c r="B226" s="3" t="s">
        <v>944</v>
      </c>
      <c r="C226" t="s">
        <v>945</v>
      </c>
      <c r="D226" t="s">
        <v>946</v>
      </c>
      <c r="E226" t="s">
        <v>947</v>
      </c>
      <c r="F226" t="s">
        <v>948</v>
      </c>
      <c r="G226" t="s">
        <v>16</v>
      </c>
      <c r="H226">
        <v>1544</v>
      </c>
      <c r="I226">
        <v>1589</v>
      </c>
      <c r="J226">
        <f t="shared" si="3"/>
        <v>3133</v>
      </c>
    </row>
    <row r="227" ht="14.5" spans="1:10">
      <c r="A227">
        <v>226</v>
      </c>
      <c r="B227" s="3" t="s">
        <v>949</v>
      </c>
      <c r="C227" t="s">
        <v>950</v>
      </c>
      <c r="D227" t="s">
        <v>951</v>
      </c>
      <c r="E227" t="s">
        <v>753</v>
      </c>
      <c r="F227" t="s">
        <v>754</v>
      </c>
      <c r="G227" t="s">
        <v>16</v>
      </c>
      <c r="H227">
        <v>1673</v>
      </c>
      <c r="I227">
        <v>1589</v>
      </c>
      <c r="J227">
        <f t="shared" si="3"/>
        <v>3262</v>
      </c>
    </row>
    <row r="228" ht="14.5" spans="1:10">
      <c r="A228">
        <v>227</v>
      </c>
      <c r="B228" s="3" t="s">
        <v>952</v>
      </c>
      <c r="C228" t="s">
        <v>953</v>
      </c>
      <c r="D228" t="s">
        <v>954</v>
      </c>
      <c r="E228" t="s">
        <v>955</v>
      </c>
      <c r="F228" t="s">
        <v>956</v>
      </c>
      <c r="G228" t="s">
        <v>16</v>
      </c>
      <c r="H228">
        <v>1618</v>
      </c>
      <c r="I228">
        <v>1589</v>
      </c>
      <c r="J228">
        <f t="shared" si="3"/>
        <v>3207</v>
      </c>
    </row>
    <row r="229" ht="14.5" spans="1:10">
      <c r="A229">
        <v>228</v>
      </c>
      <c r="B229" s="3" t="s">
        <v>957</v>
      </c>
      <c r="C229" t="s">
        <v>958</v>
      </c>
      <c r="D229" t="s">
        <v>959</v>
      </c>
      <c r="E229" t="s">
        <v>638</v>
      </c>
      <c r="F229" t="s">
        <v>960</v>
      </c>
      <c r="G229" t="s">
        <v>16</v>
      </c>
      <c r="H229">
        <v>1805</v>
      </c>
      <c r="I229">
        <v>1589</v>
      </c>
      <c r="J229">
        <f t="shared" si="3"/>
        <v>3394</v>
      </c>
    </row>
    <row r="230" ht="14.5" spans="1:10">
      <c r="A230">
        <v>229</v>
      </c>
      <c r="B230" s="3" t="s">
        <v>961</v>
      </c>
      <c r="C230" t="s">
        <v>962</v>
      </c>
      <c r="D230" t="s">
        <v>963</v>
      </c>
      <c r="E230" t="s">
        <v>638</v>
      </c>
      <c r="F230" t="s">
        <v>964</v>
      </c>
      <c r="G230" t="s">
        <v>16</v>
      </c>
      <c r="H230">
        <v>1748</v>
      </c>
      <c r="I230">
        <v>1589</v>
      </c>
      <c r="J230">
        <f t="shared" si="3"/>
        <v>3337</v>
      </c>
    </row>
    <row r="231" ht="14.5" spans="1:10">
      <c r="A231">
        <v>230</v>
      </c>
      <c r="B231" s="3" t="s">
        <v>965</v>
      </c>
      <c r="C231" t="s">
        <v>966</v>
      </c>
      <c r="D231" t="s">
        <v>967</v>
      </c>
      <c r="E231" t="s">
        <v>968</v>
      </c>
      <c r="F231" t="s">
        <v>142</v>
      </c>
      <c r="G231" t="s">
        <v>16</v>
      </c>
      <c r="H231">
        <v>1631.5</v>
      </c>
      <c r="I231">
        <v>1589</v>
      </c>
      <c r="J231">
        <f t="shared" si="3"/>
        <v>3220.5</v>
      </c>
    </row>
    <row r="232" ht="14.5" spans="1:10">
      <c r="A232">
        <v>231</v>
      </c>
      <c r="B232" s="3" t="s">
        <v>969</v>
      </c>
      <c r="C232" t="s">
        <v>970</v>
      </c>
      <c r="D232" t="s">
        <v>971</v>
      </c>
      <c r="E232" t="s">
        <v>972</v>
      </c>
      <c r="F232" t="s">
        <v>936</v>
      </c>
      <c r="G232" t="s">
        <v>16</v>
      </c>
      <c r="H232">
        <v>1721</v>
      </c>
      <c r="I232">
        <v>1589</v>
      </c>
      <c r="J232">
        <f t="shared" si="3"/>
        <v>3310</v>
      </c>
    </row>
    <row r="233" ht="14.5" spans="1:10">
      <c r="A233">
        <v>232</v>
      </c>
      <c r="B233" s="3" t="s">
        <v>973</v>
      </c>
      <c r="C233" t="s">
        <v>974</v>
      </c>
      <c r="D233" t="s">
        <v>975</v>
      </c>
      <c r="E233" t="s">
        <v>976</v>
      </c>
      <c r="F233" t="s">
        <v>977</v>
      </c>
      <c r="G233" t="s">
        <v>16</v>
      </c>
      <c r="H233">
        <v>1551</v>
      </c>
      <c r="I233">
        <v>1589</v>
      </c>
      <c r="J233">
        <f t="shared" si="3"/>
        <v>3140</v>
      </c>
    </row>
    <row r="234" spans="1:10">
      <c r="A234">
        <v>233</v>
      </c>
      <c r="B234" s="5" t="s">
        <v>978</v>
      </c>
      <c r="C234" t="s">
        <v>979</v>
      </c>
      <c r="D234" t="s">
        <v>980</v>
      </c>
      <c r="E234" t="s">
        <v>981</v>
      </c>
      <c r="F234" t="s">
        <v>745</v>
      </c>
      <c r="G234" t="s">
        <v>16</v>
      </c>
      <c r="H234">
        <v>1573</v>
      </c>
      <c r="I234">
        <v>1589</v>
      </c>
      <c r="J234">
        <f t="shared" si="3"/>
        <v>3162</v>
      </c>
    </row>
    <row r="235" ht="14.5" spans="1:10">
      <c r="A235">
        <v>234</v>
      </c>
      <c r="B235" s="3" t="s">
        <v>982</v>
      </c>
      <c r="C235" t="s">
        <v>983</v>
      </c>
      <c r="D235" t="s">
        <v>984</v>
      </c>
      <c r="E235" t="s">
        <v>497</v>
      </c>
      <c r="F235" t="s">
        <v>749</v>
      </c>
      <c r="G235" t="s">
        <v>16</v>
      </c>
      <c r="H235">
        <v>1658.5</v>
      </c>
      <c r="I235">
        <v>1589</v>
      </c>
      <c r="J235">
        <f t="shared" si="3"/>
        <v>3247.5</v>
      </c>
    </row>
    <row r="236" spans="1:10">
      <c r="A236">
        <v>235</v>
      </c>
      <c r="B236" s="5" t="s">
        <v>985</v>
      </c>
      <c r="C236" t="s">
        <v>986</v>
      </c>
      <c r="D236" t="s">
        <v>987</v>
      </c>
      <c r="E236" t="s">
        <v>290</v>
      </c>
      <c r="F236" t="s">
        <v>988</v>
      </c>
      <c r="G236" t="s">
        <v>16</v>
      </c>
      <c r="H236">
        <v>1799</v>
      </c>
      <c r="I236">
        <v>1589</v>
      </c>
      <c r="J236">
        <f t="shared" si="3"/>
        <v>3388</v>
      </c>
    </row>
    <row r="237" ht="14.5" spans="1:10">
      <c r="A237">
        <v>236</v>
      </c>
      <c r="B237" s="3" t="s">
        <v>989</v>
      </c>
      <c r="C237" t="s">
        <v>990</v>
      </c>
      <c r="D237" t="s">
        <v>991</v>
      </c>
      <c r="E237" t="s">
        <v>294</v>
      </c>
      <c r="F237" t="s">
        <v>863</v>
      </c>
      <c r="G237" t="s">
        <v>16</v>
      </c>
      <c r="H237">
        <v>2049</v>
      </c>
      <c r="I237">
        <v>1589</v>
      </c>
      <c r="J237">
        <f t="shared" si="3"/>
        <v>3638</v>
      </c>
    </row>
    <row r="238" ht="14.5" spans="1:10">
      <c r="A238">
        <v>237</v>
      </c>
      <c r="B238" s="3" t="s">
        <v>992</v>
      </c>
      <c r="C238" t="s">
        <v>993</v>
      </c>
      <c r="D238" s="4">
        <v>13825</v>
      </c>
      <c r="E238" t="s">
        <v>33</v>
      </c>
      <c r="F238" t="s">
        <v>749</v>
      </c>
      <c r="G238" t="s">
        <v>16</v>
      </c>
      <c r="H238">
        <v>1560.5</v>
      </c>
      <c r="I238">
        <v>1589</v>
      </c>
      <c r="J238">
        <f t="shared" si="3"/>
        <v>3149.5</v>
      </c>
    </row>
    <row r="239" spans="1:10">
      <c r="A239">
        <v>238</v>
      </c>
      <c r="B239" s="5" t="s">
        <v>994</v>
      </c>
      <c r="C239" t="s">
        <v>995</v>
      </c>
      <c r="D239" s="4">
        <v>21010</v>
      </c>
      <c r="E239" t="s">
        <v>996</v>
      </c>
      <c r="F239" t="s">
        <v>206</v>
      </c>
      <c r="G239" t="s">
        <v>16</v>
      </c>
      <c r="H239">
        <v>1831</v>
      </c>
      <c r="I239">
        <v>1589</v>
      </c>
      <c r="J239">
        <f t="shared" si="3"/>
        <v>3420</v>
      </c>
    </row>
    <row r="240" ht="14.5" spans="1:10">
      <c r="A240">
        <v>239</v>
      </c>
      <c r="B240" s="3" t="s">
        <v>997</v>
      </c>
      <c r="C240" t="s">
        <v>998</v>
      </c>
      <c r="D240" t="s">
        <v>999</v>
      </c>
      <c r="E240" t="s">
        <v>1000</v>
      </c>
      <c r="F240" t="s">
        <v>749</v>
      </c>
      <c r="G240" t="s">
        <v>16</v>
      </c>
      <c r="H240">
        <v>1622.5</v>
      </c>
      <c r="I240">
        <v>1589</v>
      </c>
      <c r="J240">
        <f t="shared" si="3"/>
        <v>3211.5</v>
      </c>
    </row>
    <row r="241" ht="14.5" spans="1:10">
      <c r="A241">
        <v>240</v>
      </c>
      <c r="B241" s="3" t="s">
        <v>1001</v>
      </c>
      <c r="C241" t="s">
        <v>1002</v>
      </c>
      <c r="D241" t="s">
        <v>1003</v>
      </c>
      <c r="E241" t="s">
        <v>561</v>
      </c>
      <c r="F241" t="s">
        <v>235</v>
      </c>
      <c r="H241">
        <v>1228.5</v>
      </c>
      <c r="I241">
        <v>1916.27</v>
      </c>
      <c r="J241">
        <f t="shared" si="3"/>
        <v>3144.77</v>
      </c>
    </row>
    <row r="242" ht="14.5" spans="1:10">
      <c r="A242">
        <v>241</v>
      </c>
      <c r="B242" s="3" t="s">
        <v>1004</v>
      </c>
      <c r="C242" t="s">
        <v>1005</v>
      </c>
      <c r="D242" t="s">
        <v>1006</v>
      </c>
      <c r="E242" t="s">
        <v>186</v>
      </c>
      <c r="F242" t="s">
        <v>1007</v>
      </c>
      <c r="H242">
        <v>1607.76</v>
      </c>
      <c r="I242">
        <v>2007.25</v>
      </c>
      <c r="J242">
        <f t="shared" si="3"/>
        <v>3615.01</v>
      </c>
    </row>
    <row r="243" ht="14.5" spans="1:10">
      <c r="A243">
        <v>242</v>
      </c>
      <c r="B243" s="3" t="s">
        <v>1008</v>
      </c>
      <c r="C243" t="s">
        <v>1009</v>
      </c>
      <c r="D243" t="s">
        <v>1010</v>
      </c>
      <c r="E243" t="s">
        <v>1011</v>
      </c>
      <c r="F243" t="s">
        <v>838</v>
      </c>
      <c r="H243">
        <v>1237.4</v>
      </c>
      <c r="I243">
        <v>1809.28</v>
      </c>
      <c r="J243">
        <f t="shared" si="3"/>
        <v>3046.68</v>
      </c>
    </row>
    <row r="244" ht="14.5" spans="1:10">
      <c r="A244">
        <v>243</v>
      </c>
      <c r="B244" s="3" t="s">
        <v>1012</v>
      </c>
      <c r="C244" t="s">
        <v>1013</v>
      </c>
      <c r="D244" t="s">
        <v>1014</v>
      </c>
      <c r="E244" t="s">
        <v>439</v>
      </c>
      <c r="F244" t="s">
        <v>1015</v>
      </c>
      <c r="H244">
        <v>1432.53</v>
      </c>
      <c r="I244">
        <v>1999.76</v>
      </c>
      <c r="J244">
        <f t="shared" si="3"/>
        <v>3432.29</v>
      </c>
    </row>
    <row r="245" ht="14.5" spans="1:10">
      <c r="A245">
        <v>244</v>
      </c>
      <c r="B245" s="3" t="s">
        <v>1016</v>
      </c>
      <c r="C245" t="s">
        <v>1017</v>
      </c>
      <c r="D245" t="s">
        <v>1018</v>
      </c>
      <c r="E245" t="s">
        <v>561</v>
      </c>
      <c r="F245" t="s">
        <v>906</v>
      </c>
      <c r="H245">
        <v>1228.5</v>
      </c>
      <c r="I245">
        <v>1916.27</v>
      </c>
      <c r="J245">
        <f t="shared" si="3"/>
        <v>3144.77</v>
      </c>
    </row>
    <row r="246" ht="14.5" spans="1:10">
      <c r="A246">
        <v>245</v>
      </c>
      <c r="B246" s="3" t="s">
        <v>1019</v>
      </c>
      <c r="C246" t="s">
        <v>1020</v>
      </c>
      <c r="D246" t="s">
        <v>1021</v>
      </c>
      <c r="E246" t="s">
        <v>1022</v>
      </c>
      <c r="F246" t="s">
        <v>593</v>
      </c>
      <c r="H246">
        <v>1179.98</v>
      </c>
      <c r="I246">
        <v>1806.74</v>
      </c>
      <c r="J246">
        <f t="shared" si="3"/>
        <v>2986.72</v>
      </c>
    </row>
    <row r="247" ht="14.5" spans="1:10">
      <c r="A247">
        <v>246</v>
      </c>
      <c r="B247" s="3" t="s">
        <v>1023</v>
      </c>
      <c r="C247" t="s">
        <v>1024</v>
      </c>
      <c r="D247" t="s">
        <v>1025</v>
      </c>
      <c r="E247" t="s">
        <v>1026</v>
      </c>
      <c r="F247" t="s">
        <v>1027</v>
      </c>
      <c r="H247">
        <v>1498.86</v>
      </c>
      <c r="I247">
        <v>2002.59</v>
      </c>
      <c r="J247">
        <f t="shared" si="3"/>
        <v>3501.45</v>
      </c>
    </row>
    <row r="248" ht="14.5" spans="1:10">
      <c r="A248">
        <v>247</v>
      </c>
      <c r="B248" s="3" t="s">
        <v>1028</v>
      </c>
      <c r="C248" t="s">
        <v>1029</v>
      </c>
      <c r="D248" t="s">
        <v>1030</v>
      </c>
      <c r="E248" t="s">
        <v>110</v>
      </c>
      <c r="F248" t="s">
        <v>579</v>
      </c>
      <c r="G248" t="s">
        <v>16</v>
      </c>
      <c r="H248">
        <v>2090</v>
      </c>
      <c r="I248">
        <v>1589</v>
      </c>
      <c r="J248">
        <f t="shared" si="3"/>
        <v>3679</v>
      </c>
    </row>
    <row r="249" ht="14.5" spans="1:10">
      <c r="A249">
        <v>248</v>
      </c>
      <c r="B249" s="3" t="s">
        <v>1031</v>
      </c>
      <c r="C249" t="s">
        <v>1032</v>
      </c>
      <c r="D249" t="s">
        <v>1033</v>
      </c>
      <c r="E249" t="s">
        <v>129</v>
      </c>
      <c r="F249" t="s">
        <v>785</v>
      </c>
      <c r="G249" t="s">
        <v>16</v>
      </c>
      <c r="H249">
        <v>1969.1</v>
      </c>
      <c r="I249">
        <v>1589</v>
      </c>
      <c r="J249">
        <f t="shared" si="3"/>
        <v>3558.1</v>
      </c>
    </row>
    <row r="250" ht="14.5" spans="1:10">
      <c r="A250">
        <v>249</v>
      </c>
      <c r="B250" s="3" t="s">
        <v>1034</v>
      </c>
      <c r="C250" t="s">
        <v>1035</v>
      </c>
      <c r="D250" t="s">
        <v>1036</v>
      </c>
      <c r="E250" t="s">
        <v>271</v>
      </c>
      <c r="F250" t="s">
        <v>286</v>
      </c>
      <c r="G250" t="s">
        <v>16</v>
      </c>
      <c r="H250">
        <v>1727.1</v>
      </c>
      <c r="I250">
        <v>1589</v>
      </c>
      <c r="J250">
        <f t="shared" si="3"/>
        <v>3316.1</v>
      </c>
    </row>
    <row r="251" ht="14.5" spans="1:10">
      <c r="A251">
        <v>250</v>
      </c>
      <c r="B251" s="3" t="s">
        <v>1037</v>
      </c>
      <c r="C251" t="s">
        <v>1038</v>
      </c>
      <c r="D251" t="s">
        <v>1039</v>
      </c>
      <c r="E251" t="s">
        <v>647</v>
      </c>
      <c r="F251" t="s">
        <v>1040</v>
      </c>
      <c r="G251" t="s">
        <v>16</v>
      </c>
      <c r="H251">
        <v>1528.5</v>
      </c>
      <c r="I251">
        <v>1589</v>
      </c>
      <c r="J251">
        <f t="shared" si="3"/>
        <v>3117.5</v>
      </c>
    </row>
    <row r="252" ht="14.5" spans="1:10">
      <c r="A252">
        <v>251</v>
      </c>
      <c r="B252" s="3" t="s">
        <v>1041</v>
      </c>
      <c r="C252" t="s">
        <v>1042</v>
      </c>
      <c r="D252" t="s">
        <v>1043</v>
      </c>
      <c r="E252" t="s">
        <v>1044</v>
      </c>
      <c r="F252" t="s">
        <v>867</v>
      </c>
      <c r="G252" t="s">
        <v>16</v>
      </c>
      <c r="H252">
        <v>1901</v>
      </c>
      <c r="I252">
        <v>1589</v>
      </c>
      <c r="J252">
        <f t="shared" si="3"/>
        <v>3490</v>
      </c>
    </row>
    <row r="253" ht="14.5" spans="1:10">
      <c r="A253">
        <v>252</v>
      </c>
      <c r="B253" s="3" t="s">
        <v>1045</v>
      </c>
      <c r="C253" t="s">
        <v>1046</v>
      </c>
      <c r="D253" t="s">
        <v>1047</v>
      </c>
      <c r="E253" t="s">
        <v>647</v>
      </c>
      <c r="F253" t="s">
        <v>277</v>
      </c>
      <c r="G253" t="s">
        <v>16</v>
      </c>
      <c r="H253">
        <v>2090</v>
      </c>
      <c r="I253">
        <v>1589</v>
      </c>
      <c r="J253">
        <f t="shared" si="3"/>
        <v>3679</v>
      </c>
    </row>
    <row r="254" ht="14.5" spans="1:10">
      <c r="A254">
        <v>253</v>
      </c>
      <c r="B254" s="3" t="s">
        <v>1048</v>
      </c>
      <c r="C254" t="s">
        <v>1049</v>
      </c>
      <c r="D254" t="s">
        <v>1050</v>
      </c>
      <c r="E254" t="s">
        <v>67</v>
      </c>
      <c r="F254" t="s">
        <v>29</v>
      </c>
      <c r="G254" t="s">
        <v>16</v>
      </c>
      <c r="H254">
        <v>2049</v>
      </c>
      <c r="I254">
        <v>1589</v>
      </c>
      <c r="J254">
        <f t="shared" si="3"/>
        <v>3638</v>
      </c>
    </row>
    <row r="255" ht="14.5" spans="1:10">
      <c r="A255">
        <v>254</v>
      </c>
      <c r="B255" s="3" t="s">
        <v>1051</v>
      </c>
      <c r="C255" t="s">
        <v>1052</v>
      </c>
      <c r="D255" t="s">
        <v>1053</v>
      </c>
      <c r="E255" t="s">
        <v>439</v>
      </c>
      <c r="F255" t="s">
        <v>1027</v>
      </c>
      <c r="G255" t="s">
        <v>708</v>
      </c>
      <c r="H255">
        <v>1464.21</v>
      </c>
      <c r="I255">
        <v>2001.11</v>
      </c>
      <c r="J255">
        <f t="shared" si="3"/>
        <v>3465.32</v>
      </c>
    </row>
    <row r="256" spans="1:10">
      <c r="A256">
        <v>255</v>
      </c>
      <c r="B256" s="5" t="s">
        <v>1054</v>
      </c>
      <c r="C256" t="s">
        <v>1055</v>
      </c>
      <c r="D256" t="s">
        <v>1056</v>
      </c>
      <c r="E256" t="s">
        <v>1057</v>
      </c>
      <c r="F256" t="s">
        <v>1058</v>
      </c>
      <c r="G256" t="s">
        <v>16</v>
      </c>
      <c r="H256">
        <v>1548.5</v>
      </c>
      <c r="I256">
        <v>1589</v>
      </c>
      <c r="J256">
        <f t="shared" si="3"/>
        <v>3137.5</v>
      </c>
    </row>
    <row r="257" ht="14.5" spans="1:11">
      <c r="A257">
        <v>256</v>
      </c>
      <c r="B257" s="3" t="s">
        <v>1059</v>
      </c>
      <c r="C257" t="s">
        <v>1060</v>
      </c>
      <c r="D257" t="s">
        <v>1061</v>
      </c>
      <c r="E257" t="s">
        <v>281</v>
      </c>
      <c r="F257" t="s">
        <v>444</v>
      </c>
      <c r="G257" t="s">
        <v>708</v>
      </c>
      <c r="H257">
        <v>1647.36</v>
      </c>
      <c r="I257">
        <v>2008.94</v>
      </c>
      <c r="J257">
        <f t="shared" si="3"/>
        <v>3656.3</v>
      </c>
    </row>
    <row r="258" ht="14.5" spans="1:11">
      <c r="A258">
        <v>257</v>
      </c>
      <c r="B258" s="3" t="s">
        <v>1062</v>
      </c>
      <c r="C258" t="s">
        <v>1063</v>
      </c>
      <c r="D258" t="s">
        <v>1064</v>
      </c>
      <c r="E258" t="s">
        <v>129</v>
      </c>
      <c r="F258" t="s">
        <v>1065</v>
      </c>
      <c r="G258" t="s">
        <v>16</v>
      </c>
      <c r="H258">
        <v>1969.1</v>
      </c>
      <c r="I258">
        <v>1589</v>
      </c>
      <c r="J258">
        <f t="shared" si="3"/>
        <v>3558.1</v>
      </c>
    </row>
    <row r="259" ht="14.5" spans="1:11">
      <c r="A259">
        <v>258</v>
      </c>
      <c r="B259" s="3" t="s">
        <v>1066</v>
      </c>
      <c r="C259" t="s">
        <v>1067</v>
      </c>
      <c r="D259" t="s">
        <v>1068</v>
      </c>
      <c r="E259" t="s">
        <v>1069</v>
      </c>
      <c r="F259" t="s">
        <v>570</v>
      </c>
      <c r="G259" t="s">
        <v>708</v>
      </c>
      <c r="H259">
        <v>1400.85</v>
      </c>
      <c r="I259">
        <v>1998.4</v>
      </c>
      <c r="J259">
        <f t="shared" ref="J259:J322" si="4">SUM(H259:I259)</f>
        <v>3399.25</v>
      </c>
    </row>
    <row r="260" ht="14.5" spans="1:11">
      <c r="A260">
        <v>259</v>
      </c>
      <c r="B260" s="3" t="s">
        <v>1070</v>
      </c>
      <c r="C260" t="s">
        <v>1071</v>
      </c>
      <c r="D260" t="s">
        <v>1072</v>
      </c>
      <c r="E260" t="s">
        <v>1073</v>
      </c>
      <c r="F260" t="s">
        <v>1074</v>
      </c>
      <c r="G260" t="s">
        <v>16</v>
      </c>
      <c r="H260">
        <v>1604</v>
      </c>
      <c r="I260">
        <v>1589</v>
      </c>
      <c r="J260">
        <f t="shared" si="4"/>
        <v>3193</v>
      </c>
    </row>
    <row r="261" ht="14.5" spans="1:11">
      <c r="A261">
        <v>260</v>
      </c>
      <c r="B261" s="3" t="s">
        <v>1075</v>
      </c>
      <c r="C261" t="s">
        <v>1076</v>
      </c>
      <c r="D261" t="s">
        <v>1077</v>
      </c>
      <c r="E261" t="s">
        <v>234</v>
      </c>
      <c r="F261" t="s">
        <v>440</v>
      </c>
      <c r="G261" t="s">
        <v>16</v>
      </c>
      <c r="H261">
        <v>1432.53</v>
      </c>
      <c r="I261">
        <v>1999.76</v>
      </c>
      <c r="J261">
        <f t="shared" si="4"/>
        <v>3432.29</v>
      </c>
    </row>
    <row r="262" ht="14.5" spans="1:11">
      <c r="A262">
        <v>261</v>
      </c>
      <c r="B262" s="3" t="s">
        <v>1078</v>
      </c>
      <c r="C262" t="s">
        <v>1079</v>
      </c>
      <c r="D262" t="s">
        <v>1080</v>
      </c>
      <c r="E262" t="s">
        <v>186</v>
      </c>
      <c r="F262" t="s">
        <v>597</v>
      </c>
      <c r="G262" t="s">
        <v>16</v>
      </c>
      <c r="H262">
        <v>1607.76</v>
      </c>
      <c r="I262">
        <v>2007.25</v>
      </c>
      <c r="J262">
        <f t="shared" si="4"/>
        <v>3615.01</v>
      </c>
    </row>
    <row r="263" ht="14.5" spans="1:11">
      <c r="A263">
        <v>262</v>
      </c>
      <c r="B263" s="3" t="s">
        <v>1081</v>
      </c>
      <c r="C263" t="s">
        <v>1082</v>
      </c>
      <c r="D263" t="s">
        <v>1083</v>
      </c>
      <c r="E263" t="s">
        <v>429</v>
      </c>
      <c r="F263" t="s">
        <v>597</v>
      </c>
      <c r="G263" t="s">
        <v>16</v>
      </c>
      <c r="H263">
        <v>1568.16</v>
      </c>
      <c r="I263">
        <v>2005.55</v>
      </c>
      <c r="J263">
        <f t="shared" si="4"/>
        <v>3573.71</v>
      </c>
    </row>
    <row r="264" ht="14.5" spans="1:11">
      <c r="A264">
        <v>263</v>
      </c>
      <c r="B264" s="3" t="s">
        <v>1084</v>
      </c>
      <c r="C264" t="s">
        <v>1085</v>
      </c>
      <c r="D264" t="s">
        <v>1086</v>
      </c>
      <c r="E264" t="s">
        <v>396</v>
      </c>
      <c r="F264" t="s">
        <v>584</v>
      </c>
      <c r="G264" t="s">
        <v>16</v>
      </c>
      <c r="H264">
        <v>1533.51</v>
      </c>
      <c r="I264">
        <v>2004.07</v>
      </c>
      <c r="J264">
        <f t="shared" si="4"/>
        <v>3537.58</v>
      </c>
    </row>
    <row r="265" ht="14.5" spans="1:11">
      <c r="A265">
        <v>264</v>
      </c>
      <c r="B265" s="3" t="s">
        <v>1087</v>
      </c>
      <c r="C265" t="s">
        <v>1088</v>
      </c>
      <c r="D265" t="s">
        <v>1089</v>
      </c>
      <c r="E265" t="s">
        <v>1090</v>
      </c>
      <c r="F265" t="s">
        <v>1091</v>
      </c>
      <c r="G265" t="s">
        <v>16</v>
      </c>
      <c r="H265">
        <v>1625.5</v>
      </c>
      <c r="I265">
        <v>1589</v>
      </c>
      <c r="J265">
        <f t="shared" si="4"/>
        <v>3214.5</v>
      </c>
    </row>
    <row r="266" ht="14.5" spans="1:11">
      <c r="A266">
        <v>265</v>
      </c>
      <c r="B266" s="3" t="s">
        <v>1092</v>
      </c>
      <c r="C266" t="s">
        <v>1093</v>
      </c>
      <c r="D266" t="s">
        <v>1094</v>
      </c>
      <c r="E266" t="s">
        <v>129</v>
      </c>
      <c r="F266" t="s">
        <v>327</v>
      </c>
      <c r="G266" t="s">
        <v>16</v>
      </c>
      <c r="H266">
        <v>1863.5</v>
      </c>
      <c r="I266">
        <v>1589</v>
      </c>
      <c r="J266">
        <f t="shared" si="4"/>
        <v>3452.5</v>
      </c>
    </row>
    <row r="267" ht="14.5" spans="1:11">
      <c r="A267">
        <v>266</v>
      </c>
      <c r="B267" s="3" t="s">
        <v>1095</v>
      </c>
      <c r="C267" t="s">
        <v>1096</v>
      </c>
      <c r="D267" t="s">
        <v>1097</v>
      </c>
      <c r="E267" t="s">
        <v>1098</v>
      </c>
      <c r="F267" t="s">
        <v>1099</v>
      </c>
      <c r="G267" t="s">
        <v>16</v>
      </c>
      <c r="H267">
        <v>1954</v>
      </c>
      <c r="I267">
        <v>1885</v>
      </c>
      <c r="J267">
        <f t="shared" si="4"/>
        <v>3839</v>
      </c>
    </row>
    <row r="268" ht="14.5" spans="1:11">
      <c r="A268">
        <v>267</v>
      </c>
      <c r="B268" s="3" t="s">
        <v>1100</v>
      </c>
      <c r="C268" t="s">
        <v>1101</v>
      </c>
      <c r="D268" t="s">
        <v>1102</v>
      </c>
      <c r="E268" t="s">
        <v>257</v>
      </c>
      <c r="F268" t="s">
        <v>1103</v>
      </c>
      <c r="G268" t="s">
        <v>78</v>
      </c>
      <c r="H268">
        <v>2503</v>
      </c>
      <c r="I268">
        <v>1885</v>
      </c>
      <c r="J268">
        <f t="shared" si="4"/>
        <v>4388</v>
      </c>
    </row>
    <row r="269" ht="14.5" spans="1:11">
      <c r="A269">
        <v>268</v>
      </c>
      <c r="B269" s="3" t="s">
        <v>1104</v>
      </c>
      <c r="C269" t="s">
        <v>1105</v>
      </c>
      <c r="D269" t="s">
        <v>1106</v>
      </c>
      <c r="E269" t="s">
        <v>239</v>
      </c>
      <c r="F269" t="s">
        <v>686</v>
      </c>
      <c r="G269" t="s">
        <v>16</v>
      </c>
      <c r="H269">
        <v>2049</v>
      </c>
      <c r="I269">
        <v>1589</v>
      </c>
      <c r="J269">
        <f t="shared" si="4"/>
        <v>3638</v>
      </c>
      <c r="K269" t="s">
        <v>1107</v>
      </c>
    </row>
    <row r="270" ht="14.5" spans="1:11">
      <c r="A270">
        <v>269</v>
      </c>
      <c r="B270" s="3" t="s">
        <v>1108</v>
      </c>
      <c r="C270" t="s">
        <v>1109</v>
      </c>
      <c r="D270" t="s">
        <v>1110</v>
      </c>
      <c r="E270" t="s">
        <v>370</v>
      </c>
      <c r="F270" t="s">
        <v>1111</v>
      </c>
      <c r="G270" t="s">
        <v>16</v>
      </c>
      <c r="H270">
        <v>1748</v>
      </c>
      <c r="I270">
        <v>1589</v>
      </c>
      <c r="J270">
        <f t="shared" si="4"/>
        <v>3337</v>
      </c>
    </row>
    <row r="271" ht="14.5" spans="1:11">
      <c r="A271">
        <v>270</v>
      </c>
      <c r="B271" s="3" t="s">
        <v>1112</v>
      </c>
      <c r="C271" t="s">
        <v>1113</v>
      </c>
      <c r="D271" t="s">
        <v>1114</v>
      </c>
      <c r="E271" t="s">
        <v>245</v>
      </c>
      <c r="F271" t="s">
        <v>116</v>
      </c>
      <c r="G271" t="s">
        <v>78</v>
      </c>
      <c r="H271">
        <v>2378</v>
      </c>
      <c r="I271">
        <v>1885</v>
      </c>
      <c r="J271">
        <f t="shared" si="4"/>
        <v>4263</v>
      </c>
    </row>
    <row r="272" ht="14.5" spans="1:11">
      <c r="A272">
        <v>271</v>
      </c>
      <c r="B272" s="3" t="s">
        <v>1115</v>
      </c>
      <c r="C272" t="s">
        <v>1116</v>
      </c>
      <c r="D272" t="s">
        <v>1117</v>
      </c>
      <c r="E272" t="s">
        <v>1118</v>
      </c>
      <c r="F272" t="s">
        <v>142</v>
      </c>
      <c r="G272" t="s">
        <v>16</v>
      </c>
      <c r="H272">
        <v>1748</v>
      </c>
      <c r="I272">
        <v>1589</v>
      </c>
      <c r="J272">
        <f t="shared" si="4"/>
        <v>3337</v>
      </c>
    </row>
    <row r="273" ht="14.5" spans="1:10">
      <c r="A273">
        <v>272</v>
      </c>
      <c r="B273" s="3" t="s">
        <v>1119</v>
      </c>
      <c r="C273" t="s">
        <v>1120</v>
      </c>
      <c r="D273" t="s">
        <v>1121</v>
      </c>
      <c r="E273" t="s">
        <v>1122</v>
      </c>
      <c r="F273" t="s">
        <v>1123</v>
      </c>
      <c r="G273" t="s">
        <v>16</v>
      </c>
      <c r="H273">
        <v>2049</v>
      </c>
      <c r="I273">
        <v>1589</v>
      </c>
      <c r="J273">
        <f t="shared" si="4"/>
        <v>3638</v>
      </c>
    </row>
    <row r="274" ht="14.5" spans="1:10">
      <c r="A274">
        <v>273</v>
      </c>
      <c r="B274" s="3" t="s">
        <v>1124</v>
      </c>
      <c r="C274" t="s">
        <v>1125</v>
      </c>
      <c r="D274" t="s">
        <v>1126</v>
      </c>
      <c r="E274" t="s">
        <v>638</v>
      </c>
      <c r="F274" t="s">
        <v>754</v>
      </c>
      <c r="G274" t="s">
        <v>78</v>
      </c>
      <c r="H274">
        <v>2016</v>
      </c>
      <c r="I274">
        <v>1885</v>
      </c>
      <c r="J274">
        <f t="shared" si="4"/>
        <v>3901</v>
      </c>
    </row>
    <row r="275" ht="14.5" spans="1:10">
      <c r="A275">
        <v>274</v>
      </c>
      <c r="B275" s="3" t="s">
        <v>1127</v>
      </c>
      <c r="C275" t="s">
        <v>1128</v>
      </c>
      <c r="D275" t="s">
        <v>1129</v>
      </c>
      <c r="E275" t="s">
        <v>1130</v>
      </c>
      <c r="F275" t="s">
        <v>1131</v>
      </c>
      <c r="G275" t="s">
        <v>1132</v>
      </c>
      <c r="H275">
        <v>1568.16</v>
      </c>
      <c r="I275">
        <v>2005.55</v>
      </c>
      <c r="J275">
        <f t="shared" si="4"/>
        <v>3573.71</v>
      </c>
    </row>
    <row r="276" ht="14.5" spans="1:10">
      <c r="A276">
        <v>275</v>
      </c>
      <c r="B276" s="3" t="s">
        <v>1133</v>
      </c>
      <c r="C276" t="s">
        <v>1134</v>
      </c>
      <c r="D276" t="s">
        <v>1135</v>
      </c>
      <c r="E276" t="s">
        <v>340</v>
      </c>
      <c r="F276" t="s">
        <v>726</v>
      </c>
      <c r="G276" t="s">
        <v>78</v>
      </c>
      <c r="H276">
        <v>2058</v>
      </c>
      <c r="I276">
        <v>1885</v>
      </c>
      <c r="J276">
        <f t="shared" si="4"/>
        <v>3943</v>
      </c>
    </row>
    <row r="277" ht="14.5" spans="1:10">
      <c r="A277">
        <v>276</v>
      </c>
      <c r="B277" s="3" t="s">
        <v>1136</v>
      </c>
      <c r="C277" t="s">
        <v>1137</v>
      </c>
      <c r="D277" t="s">
        <v>1138</v>
      </c>
      <c r="E277" t="s">
        <v>385</v>
      </c>
      <c r="F277" t="s">
        <v>1139</v>
      </c>
      <c r="G277" t="s">
        <v>16</v>
      </c>
      <c r="H277">
        <v>2226</v>
      </c>
      <c r="I277">
        <v>1589</v>
      </c>
      <c r="J277">
        <f t="shared" si="4"/>
        <v>3815</v>
      </c>
    </row>
    <row r="278" ht="14.5" spans="1:10">
      <c r="A278">
        <v>277</v>
      </c>
      <c r="B278" s="3" t="s">
        <v>1140</v>
      </c>
      <c r="C278" t="s">
        <v>1141</v>
      </c>
      <c r="D278" s="4">
        <v>15008</v>
      </c>
      <c r="E278" s="4">
        <v>23255</v>
      </c>
      <c r="F278" s="4">
        <v>35096</v>
      </c>
      <c r="G278" t="s">
        <v>16</v>
      </c>
      <c r="H278">
        <v>1502</v>
      </c>
      <c r="I278">
        <v>1589</v>
      </c>
      <c r="J278">
        <f t="shared" si="4"/>
        <v>3091</v>
      </c>
    </row>
    <row r="279" ht="14.5" spans="1:10">
      <c r="A279">
        <v>278</v>
      </c>
      <c r="B279" s="3" t="s">
        <v>1142</v>
      </c>
      <c r="C279" t="s">
        <v>1143</v>
      </c>
      <c r="D279" t="s">
        <v>1144</v>
      </c>
      <c r="E279" t="s">
        <v>702</v>
      </c>
      <c r="F279" t="s">
        <v>1099</v>
      </c>
      <c r="G279" t="s">
        <v>1145</v>
      </c>
      <c r="H279">
        <v>2014</v>
      </c>
      <c r="I279">
        <v>1885</v>
      </c>
      <c r="J279">
        <f t="shared" si="4"/>
        <v>3899</v>
      </c>
    </row>
    <row r="280" ht="14.5" spans="1:10">
      <c r="A280">
        <v>279</v>
      </c>
      <c r="B280" s="3" t="s">
        <v>1146</v>
      </c>
      <c r="C280" t="s">
        <v>1147</v>
      </c>
      <c r="D280" t="s">
        <v>1148</v>
      </c>
      <c r="E280" t="s">
        <v>1149</v>
      </c>
      <c r="F280" t="s">
        <v>574</v>
      </c>
      <c r="G280" t="s">
        <v>16</v>
      </c>
      <c r="H280">
        <v>1534</v>
      </c>
      <c r="I280">
        <v>1589</v>
      </c>
      <c r="J280">
        <f t="shared" si="4"/>
        <v>3123</v>
      </c>
    </row>
    <row r="281" ht="14.5" spans="1:10">
      <c r="A281">
        <v>280</v>
      </c>
      <c r="B281" s="3" t="s">
        <v>1150</v>
      </c>
      <c r="C281" t="s">
        <v>1151</v>
      </c>
      <c r="D281" t="s">
        <v>1152</v>
      </c>
      <c r="E281" t="s">
        <v>262</v>
      </c>
      <c r="F281" t="s">
        <v>1153</v>
      </c>
      <c r="G281" t="s">
        <v>16</v>
      </c>
      <c r="H281">
        <v>1970.5</v>
      </c>
      <c r="I281">
        <v>1589</v>
      </c>
      <c r="J281">
        <f t="shared" si="4"/>
        <v>3559.5</v>
      </c>
    </row>
    <row r="282" ht="14.5" spans="1:10">
      <c r="A282">
        <v>281</v>
      </c>
      <c r="B282" s="3" t="s">
        <v>1154</v>
      </c>
      <c r="C282" t="s">
        <v>1155</v>
      </c>
      <c r="D282" t="s">
        <v>1156</v>
      </c>
      <c r="E282" t="s">
        <v>385</v>
      </c>
      <c r="F282" t="s">
        <v>1157</v>
      </c>
      <c r="G282" t="s">
        <v>16</v>
      </c>
      <c r="H282">
        <v>2090</v>
      </c>
      <c r="I282">
        <v>1589</v>
      </c>
      <c r="J282">
        <f t="shared" si="4"/>
        <v>3679</v>
      </c>
    </row>
    <row r="283" ht="14.5" spans="1:10">
      <c r="A283">
        <v>282</v>
      </c>
      <c r="B283" s="3" t="s">
        <v>1158</v>
      </c>
      <c r="C283" t="s">
        <v>1159</v>
      </c>
      <c r="D283" t="s">
        <v>1160</v>
      </c>
      <c r="E283" t="s">
        <v>129</v>
      </c>
      <c r="F283" t="s">
        <v>116</v>
      </c>
      <c r="G283" t="s">
        <v>78</v>
      </c>
      <c r="H283">
        <v>2378</v>
      </c>
      <c r="I283">
        <v>1885</v>
      </c>
      <c r="J283">
        <f t="shared" si="4"/>
        <v>4263</v>
      </c>
    </row>
    <row r="284" ht="14.5" spans="1:10">
      <c r="A284">
        <v>283</v>
      </c>
      <c r="B284" s="3" t="s">
        <v>1161</v>
      </c>
      <c r="C284" t="s">
        <v>1162</v>
      </c>
      <c r="D284" t="s">
        <v>1163</v>
      </c>
      <c r="E284" t="s">
        <v>655</v>
      </c>
      <c r="F284" t="s">
        <v>1164</v>
      </c>
      <c r="G284" t="s">
        <v>16</v>
      </c>
      <c r="H284">
        <v>1814</v>
      </c>
      <c r="I284">
        <v>1589</v>
      </c>
      <c r="J284">
        <f t="shared" si="4"/>
        <v>3403</v>
      </c>
    </row>
    <row r="285" ht="14.5" spans="1:10">
      <c r="A285">
        <v>284</v>
      </c>
      <c r="B285" s="3" t="s">
        <v>1165</v>
      </c>
      <c r="C285" t="s">
        <v>1166</v>
      </c>
      <c r="D285" t="s">
        <v>1167</v>
      </c>
      <c r="E285" t="s">
        <v>160</v>
      </c>
      <c r="F285" t="s">
        <v>1168</v>
      </c>
      <c r="G285" t="s">
        <v>16</v>
      </c>
      <c r="H285">
        <v>1578.5</v>
      </c>
      <c r="I285">
        <v>1589</v>
      </c>
      <c r="J285">
        <f t="shared" si="4"/>
        <v>3167.5</v>
      </c>
    </row>
    <row r="286" ht="14.5" spans="1:10">
      <c r="A286">
        <v>285</v>
      </c>
      <c r="B286" s="3" t="s">
        <v>1169</v>
      </c>
      <c r="C286" t="s">
        <v>1170</v>
      </c>
      <c r="D286" t="s">
        <v>1171</v>
      </c>
      <c r="E286" t="s">
        <v>474</v>
      </c>
      <c r="F286" t="s">
        <v>206</v>
      </c>
      <c r="G286" t="s">
        <v>78</v>
      </c>
      <c r="H286">
        <v>2341</v>
      </c>
      <c r="I286">
        <v>1885</v>
      </c>
      <c r="J286">
        <f t="shared" si="4"/>
        <v>4226</v>
      </c>
    </row>
    <row r="287" ht="14.5" spans="1:10">
      <c r="A287">
        <v>286</v>
      </c>
      <c r="B287" s="3" t="s">
        <v>1172</v>
      </c>
      <c r="C287" t="s">
        <v>1173</v>
      </c>
      <c r="D287" t="s">
        <v>1174</v>
      </c>
      <c r="E287" t="s">
        <v>160</v>
      </c>
      <c r="F287" t="s">
        <v>749</v>
      </c>
      <c r="G287" t="s">
        <v>16</v>
      </c>
      <c r="H287">
        <v>1562</v>
      </c>
      <c r="I287">
        <v>1589</v>
      </c>
      <c r="J287">
        <f t="shared" si="4"/>
        <v>3151</v>
      </c>
    </row>
    <row r="288" ht="14.5" spans="1:10">
      <c r="A288">
        <v>287</v>
      </c>
      <c r="B288" s="3" t="s">
        <v>1175</v>
      </c>
      <c r="C288" t="s">
        <v>1176</v>
      </c>
      <c r="D288" t="s">
        <v>1177</v>
      </c>
      <c r="E288" t="s">
        <v>515</v>
      </c>
      <c r="F288" t="s">
        <v>548</v>
      </c>
      <c r="G288" t="s">
        <v>16</v>
      </c>
      <c r="H288">
        <v>2132</v>
      </c>
      <c r="I288">
        <v>1589</v>
      </c>
      <c r="J288">
        <f t="shared" si="4"/>
        <v>3721</v>
      </c>
    </row>
    <row r="289" ht="14.5" spans="1:10">
      <c r="A289">
        <v>288</v>
      </c>
      <c r="B289" s="3" t="s">
        <v>1178</v>
      </c>
      <c r="C289" t="s">
        <v>1179</v>
      </c>
      <c r="D289" t="s">
        <v>1180</v>
      </c>
      <c r="E289" t="s">
        <v>1181</v>
      </c>
      <c r="F289" t="s">
        <v>1182</v>
      </c>
      <c r="G289" t="s">
        <v>16</v>
      </c>
      <c r="H289">
        <v>1725</v>
      </c>
      <c r="I289">
        <v>1589</v>
      </c>
      <c r="J289">
        <f t="shared" si="4"/>
        <v>3314</v>
      </c>
    </row>
    <row r="290" ht="14.5" spans="1:10">
      <c r="A290">
        <v>289</v>
      </c>
      <c r="B290" s="3" t="s">
        <v>1183</v>
      </c>
      <c r="C290" t="s">
        <v>1184</v>
      </c>
      <c r="D290" t="s">
        <v>1185</v>
      </c>
      <c r="E290" t="s">
        <v>1186</v>
      </c>
      <c r="F290" t="s">
        <v>919</v>
      </c>
      <c r="G290" t="s">
        <v>16</v>
      </c>
      <c r="H290">
        <v>1901</v>
      </c>
      <c r="I290">
        <v>1589</v>
      </c>
      <c r="J290">
        <f t="shared" si="4"/>
        <v>3490</v>
      </c>
    </row>
    <row r="291" ht="14.5" spans="1:10">
      <c r="A291">
        <v>290</v>
      </c>
      <c r="B291" s="3" t="s">
        <v>1187</v>
      </c>
      <c r="C291" t="s">
        <v>1188</v>
      </c>
      <c r="D291" t="s">
        <v>1189</v>
      </c>
      <c r="E291" t="s">
        <v>129</v>
      </c>
      <c r="F291" t="s">
        <v>936</v>
      </c>
      <c r="G291" t="s">
        <v>16</v>
      </c>
      <c r="H291">
        <v>1752</v>
      </c>
      <c r="I291">
        <v>1589</v>
      </c>
      <c r="J291">
        <f t="shared" si="4"/>
        <v>3341</v>
      </c>
    </row>
    <row r="292" ht="14.5" spans="1:10">
      <c r="A292">
        <v>291</v>
      </c>
      <c r="B292" s="3" t="s">
        <v>1190</v>
      </c>
      <c r="C292" t="s">
        <v>1191</v>
      </c>
      <c r="D292" t="s">
        <v>1192</v>
      </c>
      <c r="E292" t="s">
        <v>1193</v>
      </c>
      <c r="F292" t="s">
        <v>1194</v>
      </c>
      <c r="G292" t="s">
        <v>1195</v>
      </c>
      <c r="H292">
        <v>2063</v>
      </c>
      <c r="I292">
        <v>1885</v>
      </c>
      <c r="J292">
        <f t="shared" si="4"/>
        <v>3948</v>
      </c>
    </row>
    <row r="293" ht="14.5" spans="1:10">
      <c r="A293">
        <v>292</v>
      </c>
      <c r="B293" s="3" t="s">
        <v>1196</v>
      </c>
      <c r="C293" t="s">
        <v>1197</v>
      </c>
      <c r="D293" t="s">
        <v>1198</v>
      </c>
      <c r="E293" t="s">
        <v>331</v>
      </c>
      <c r="F293" t="s">
        <v>63</v>
      </c>
      <c r="G293" t="s">
        <v>16</v>
      </c>
      <c r="H293">
        <v>1400.85</v>
      </c>
      <c r="I293">
        <v>1998.4</v>
      </c>
      <c r="J293">
        <f t="shared" si="4"/>
        <v>3399.25</v>
      </c>
    </row>
    <row r="294" ht="14.5" spans="1:10">
      <c r="A294">
        <v>293</v>
      </c>
      <c r="B294" s="3" t="s">
        <v>1199</v>
      </c>
      <c r="C294" t="s">
        <v>1200</v>
      </c>
      <c r="D294" t="s">
        <v>1201</v>
      </c>
      <c r="E294" t="s">
        <v>331</v>
      </c>
      <c r="F294" t="s">
        <v>459</v>
      </c>
      <c r="G294" t="s">
        <v>78</v>
      </c>
      <c r="H294">
        <v>1692.69</v>
      </c>
      <c r="I294">
        <v>2364.42</v>
      </c>
      <c r="J294">
        <f t="shared" si="4"/>
        <v>4057.11</v>
      </c>
    </row>
    <row r="295" ht="14.5" spans="1:10">
      <c r="A295">
        <v>294</v>
      </c>
      <c r="B295" s="3" t="s">
        <v>1202</v>
      </c>
      <c r="C295" t="s">
        <v>1203</v>
      </c>
      <c r="D295" t="s">
        <v>1204</v>
      </c>
      <c r="E295" t="s">
        <v>1205</v>
      </c>
      <c r="F295" t="s">
        <v>38</v>
      </c>
      <c r="G295" t="s">
        <v>78</v>
      </c>
      <c r="H295">
        <v>1781.01</v>
      </c>
      <c r="I295">
        <v>2367.38</v>
      </c>
      <c r="J295">
        <f t="shared" si="4"/>
        <v>4148.39</v>
      </c>
    </row>
    <row r="296" ht="14.5" spans="1:10">
      <c r="A296">
        <v>295</v>
      </c>
      <c r="B296" s="3" t="s">
        <v>1206</v>
      </c>
      <c r="C296" t="s">
        <v>1207</v>
      </c>
      <c r="D296" t="s">
        <v>1208</v>
      </c>
      <c r="E296" t="s">
        <v>1149</v>
      </c>
      <c r="F296" t="s">
        <v>1209</v>
      </c>
      <c r="G296" t="s">
        <v>78</v>
      </c>
      <c r="H296">
        <v>2014</v>
      </c>
      <c r="I296">
        <v>1885</v>
      </c>
      <c r="J296">
        <f t="shared" si="4"/>
        <v>3899</v>
      </c>
    </row>
    <row r="297" ht="14.5" spans="1:10">
      <c r="A297">
        <v>296</v>
      </c>
      <c r="B297" s="3" t="s">
        <v>1210</v>
      </c>
      <c r="C297" t="s">
        <v>1211</v>
      </c>
      <c r="D297" t="s">
        <v>1212</v>
      </c>
      <c r="E297" s="4">
        <v>24381</v>
      </c>
      <c r="F297" s="4">
        <v>35947</v>
      </c>
      <c r="G297" t="s">
        <v>16</v>
      </c>
      <c r="H297">
        <v>1484</v>
      </c>
      <c r="I297">
        <v>1589</v>
      </c>
      <c r="J297">
        <f t="shared" si="4"/>
        <v>3073</v>
      </c>
    </row>
    <row r="298" ht="14.5" spans="1:10">
      <c r="A298">
        <v>297</v>
      </c>
      <c r="B298" s="3" t="s">
        <v>1213</v>
      </c>
      <c r="C298" t="s">
        <v>1214</v>
      </c>
      <c r="D298" t="s">
        <v>1215</v>
      </c>
      <c r="E298" t="s">
        <v>1216</v>
      </c>
      <c r="F298" s="4">
        <v>40391</v>
      </c>
      <c r="G298" t="s">
        <v>16</v>
      </c>
      <c r="H298">
        <v>2007</v>
      </c>
      <c r="I298">
        <v>1589</v>
      </c>
      <c r="J298">
        <f t="shared" si="4"/>
        <v>3596</v>
      </c>
    </row>
    <row r="299" ht="14.5" spans="1:10">
      <c r="A299">
        <v>298</v>
      </c>
      <c r="B299" s="3" t="s">
        <v>1217</v>
      </c>
      <c r="C299" t="s">
        <v>1218</v>
      </c>
      <c r="D299" t="s">
        <v>1219</v>
      </c>
      <c r="E299" s="4">
        <v>19176</v>
      </c>
      <c r="F299" s="4">
        <v>29556</v>
      </c>
      <c r="G299" t="s">
        <v>296</v>
      </c>
      <c r="H299">
        <v>1272</v>
      </c>
      <c r="I299">
        <v>1414</v>
      </c>
      <c r="J299">
        <f t="shared" si="4"/>
        <v>2686</v>
      </c>
    </row>
    <row r="300" ht="14.5" spans="1:10">
      <c r="A300">
        <v>299</v>
      </c>
      <c r="B300" s="3" t="s">
        <v>1220</v>
      </c>
      <c r="C300" t="s">
        <v>1221</v>
      </c>
      <c r="D300" t="s">
        <v>1222</v>
      </c>
      <c r="E300" t="s">
        <v>547</v>
      </c>
      <c r="F300" t="s">
        <v>883</v>
      </c>
      <c r="G300" t="s">
        <v>16</v>
      </c>
      <c r="H300">
        <v>1901</v>
      </c>
      <c r="I300">
        <v>1589</v>
      </c>
      <c r="J300">
        <f t="shared" si="4"/>
        <v>3490</v>
      </c>
    </row>
    <row r="301" ht="14.5" spans="1:10">
      <c r="A301">
        <v>300</v>
      </c>
      <c r="B301" s="3" t="s">
        <v>1223</v>
      </c>
      <c r="C301" t="s">
        <v>1224</v>
      </c>
      <c r="D301" t="s">
        <v>1225</v>
      </c>
      <c r="E301" s="4">
        <v>22494</v>
      </c>
      <c r="F301" s="4">
        <v>36342</v>
      </c>
      <c r="G301" t="s">
        <v>296</v>
      </c>
      <c r="H301">
        <v>1563</v>
      </c>
      <c r="I301">
        <v>1414</v>
      </c>
      <c r="J301">
        <f t="shared" si="4"/>
        <v>2977</v>
      </c>
    </row>
    <row r="302" ht="14.5" spans="1:10">
      <c r="A302">
        <v>301</v>
      </c>
      <c r="B302" s="3" t="s">
        <v>1226</v>
      </c>
      <c r="C302" t="s">
        <v>1227</v>
      </c>
      <c r="D302" t="s">
        <v>1228</v>
      </c>
      <c r="E302" t="s">
        <v>28</v>
      </c>
      <c r="F302" t="s">
        <v>1229</v>
      </c>
      <c r="G302" t="s">
        <v>16</v>
      </c>
      <c r="H302">
        <v>2090</v>
      </c>
      <c r="I302">
        <v>1589</v>
      </c>
      <c r="J302">
        <f t="shared" si="4"/>
        <v>3679</v>
      </c>
    </row>
    <row r="303" ht="14.5" spans="1:10">
      <c r="A303">
        <v>302</v>
      </c>
      <c r="B303" s="3" t="s">
        <v>1230</v>
      </c>
      <c r="C303" t="s">
        <v>1231</v>
      </c>
      <c r="D303" t="s">
        <v>1232</v>
      </c>
      <c r="E303" t="s">
        <v>191</v>
      </c>
      <c r="F303" t="s">
        <v>258</v>
      </c>
      <c r="G303" t="s">
        <v>16</v>
      </c>
      <c r="H303">
        <v>1847</v>
      </c>
      <c r="I303">
        <v>1589</v>
      </c>
      <c r="J303">
        <f t="shared" si="4"/>
        <v>3436</v>
      </c>
    </row>
    <row r="304" ht="14.5" spans="1:10">
      <c r="A304">
        <v>303</v>
      </c>
      <c r="B304" s="3" t="s">
        <v>1233</v>
      </c>
      <c r="C304" t="s">
        <v>1234</v>
      </c>
      <c r="D304" t="s">
        <v>1235</v>
      </c>
      <c r="E304" t="s">
        <v>1236</v>
      </c>
      <c r="F304" t="s">
        <v>1103</v>
      </c>
      <c r="G304" t="s">
        <v>16</v>
      </c>
      <c r="H304">
        <v>1970</v>
      </c>
      <c r="I304">
        <v>1589</v>
      </c>
      <c r="J304">
        <f t="shared" si="4"/>
        <v>3559</v>
      </c>
    </row>
    <row r="305" spans="1:11">
      <c r="A305">
        <v>304</v>
      </c>
      <c r="B305" s="5" t="s">
        <v>1237</v>
      </c>
      <c r="C305" t="s">
        <v>1238</v>
      </c>
      <c r="D305" t="s">
        <v>1239</v>
      </c>
      <c r="E305" t="s">
        <v>1240</v>
      </c>
      <c r="F305" t="s">
        <v>1241</v>
      </c>
      <c r="G305" t="s">
        <v>16</v>
      </c>
      <c r="H305">
        <v>1576.5</v>
      </c>
      <c r="I305">
        <v>1589</v>
      </c>
      <c r="J305">
        <f t="shared" si="4"/>
        <v>3165.5</v>
      </c>
    </row>
    <row r="306" ht="14.5" spans="1:11">
      <c r="A306">
        <v>305</v>
      </c>
      <c r="B306" s="3" t="s">
        <v>1242</v>
      </c>
      <c r="C306" t="s">
        <v>1243</v>
      </c>
      <c r="D306" t="s">
        <v>1244</v>
      </c>
      <c r="E306" t="s">
        <v>1245</v>
      </c>
      <c r="F306" t="s">
        <v>906</v>
      </c>
      <c r="G306" t="s">
        <v>1246</v>
      </c>
      <c r="H306">
        <v>1686.96</v>
      </c>
      <c r="I306">
        <v>2010.63</v>
      </c>
      <c r="J306">
        <f t="shared" si="4"/>
        <v>3697.59</v>
      </c>
    </row>
    <row r="307" ht="14.5" spans="1:11">
      <c r="A307">
        <v>306</v>
      </c>
      <c r="B307" s="3" t="s">
        <v>1247</v>
      </c>
      <c r="C307" t="s">
        <v>1248</v>
      </c>
      <c r="D307" t="s">
        <v>1249</v>
      </c>
      <c r="E307" t="s">
        <v>666</v>
      </c>
      <c r="F307" t="s">
        <v>1250</v>
      </c>
      <c r="G307" t="s">
        <v>1246</v>
      </c>
      <c r="H307">
        <v>1647.36</v>
      </c>
      <c r="I307">
        <v>2008.94</v>
      </c>
      <c r="J307">
        <f t="shared" si="4"/>
        <v>3656.3</v>
      </c>
    </row>
    <row r="308" spans="1:11">
      <c r="A308">
        <v>307</v>
      </c>
      <c r="B308" s="5" t="s">
        <v>1251</v>
      </c>
      <c r="C308" t="s">
        <v>1252</v>
      </c>
      <c r="D308" t="s">
        <v>86</v>
      </c>
      <c r="E308" t="s">
        <v>1253</v>
      </c>
      <c r="F308" t="s">
        <v>1254</v>
      </c>
      <c r="G308" t="s">
        <v>16</v>
      </c>
      <c r="H308">
        <v>1917</v>
      </c>
      <c r="I308">
        <v>1589</v>
      </c>
      <c r="J308">
        <f t="shared" si="4"/>
        <v>3506</v>
      </c>
    </row>
    <row r="309" ht="14.5" spans="1:11">
      <c r="A309">
        <v>308</v>
      </c>
      <c r="B309" s="3" t="s">
        <v>1255</v>
      </c>
      <c r="C309" t="s">
        <v>1256</v>
      </c>
      <c r="D309" t="s">
        <v>1257</v>
      </c>
      <c r="E309" t="s">
        <v>552</v>
      </c>
      <c r="F309" t="s">
        <v>770</v>
      </c>
      <c r="G309"/>
      <c r="H309">
        <v>1369.17</v>
      </c>
      <c r="I309">
        <v>1997.05</v>
      </c>
      <c r="J309">
        <f t="shared" si="4"/>
        <v>3366.22</v>
      </c>
    </row>
    <row r="310" ht="14.5" spans="1:11">
      <c r="A310">
        <v>309</v>
      </c>
      <c r="B310" s="3" t="s">
        <v>1258</v>
      </c>
      <c r="C310" t="s">
        <v>1259</v>
      </c>
      <c r="D310" t="s">
        <v>1260</v>
      </c>
      <c r="E310" t="s">
        <v>1261</v>
      </c>
      <c r="F310" t="s">
        <v>988</v>
      </c>
      <c r="G310" t="s">
        <v>16</v>
      </c>
      <c r="H310">
        <v>1953</v>
      </c>
      <c r="I310">
        <v>1589</v>
      </c>
      <c r="J310">
        <f t="shared" si="4"/>
        <v>3542</v>
      </c>
    </row>
    <row r="311" ht="14.5" spans="1:11">
      <c r="A311">
        <v>310</v>
      </c>
      <c r="B311" s="3" t="s">
        <v>1262</v>
      </c>
      <c r="C311" t="s">
        <v>1263</v>
      </c>
      <c r="D311" t="s">
        <v>1264</v>
      </c>
      <c r="E311" s="4">
        <v>32356</v>
      </c>
      <c r="F311" t="s">
        <v>48</v>
      </c>
      <c r="G311" t="s">
        <v>16</v>
      </c>
      <c r="H311">
        <v>2007</v>
      </c>
      <c r="I311">
        <v>1589</v>
      </c>
      <c r="J311">
        <f t="shared" si="4"/>
        <v>3596</v>
      </c>
    </row>
    <row r="312" ht="14.5" spans="1:11">
      <c r="A312">
        <v>311</v>
      </c>
      <c r="B312" s="3" t="s">
        <v>1265</v>
      </c>
      <c r="C312" t="s">
        <v>1266</v>
      </c>
      <c r="D312" t="s">
        <v>1267</v>
      </c>
      <c r="E312" t="s">
        <v>1268</v>
      </c>
      <c r="F312" t="s">
        <v>557</v>
      </c>
      <c r="G312" t="s">
        <v>16</v>
      </c>
      <c r="H312">
        <v>1969</v>
      </c>
      <c r="I312">
        <v>1589</v>
      </c>
      <c r="J312">
        <f t="shared" si="4"/>
        <v>3558</v>
      </c>
    </row>
    <row r="313" ht="14.5" spans="1:11">
      <c r="A313">
        <v>312</v>
      </c>
      <c r="B313" s="3" t="s">
        <v>1269</v>
      </c>
      <c r="C313" t="s">
        <v>1270</v>
      </c>
      <c r="D313" t="s">
        <v>1271</v>
      </c>
      <c r="E313" t="s">
        <v>147</v>
      </c>
      <c r="F313" t="s">
        <v>625</v>
      </c>
      <c r="G313" t="s">
        <v>16</v>
      </c>
      <c r="H313">
        <v>1731.5</v>
      </c>
      <c r="I313">
        <v>1589</v>
      </c>
      <c r="J313">
        <f t="shared" si="4"/>
        <v>3320.5</v>
      </c>
    </row>
    <row r="314" ht="14.5" spans="1:11">
      <c r="A314">
        <v>313</v>
      </c>
      <c r="B314" s="3" t="s">
        <v>1272</v>
      </c>
      <c r="C314" t="s">
        <v>1273</v>
      </c>
      <c r="D314" t="s">
        <v>1274</v>
      </c>
      <c r="E314" t="s">
        <v>37</v>
      </c>
      <c r="F314" t="s">
        <v>1275</v>
      </c>
      <c r="G314" t="s">
        <v>16</v>
      </c>
      <c r="H314">
        <v>1624.5</v>
      </c>
      <c r="I314">
        <v>1589</v>
      </c>
      <c r="J314">
        <f t="shared" si="4"/>
        <v>3213.5</v>
      </c>
    </row>
    <row r="315" ht="14.5" spans="1:11">
      <c r="A315">
        <v>314</v>
      </c>
      <c r="B315" s="3" t="s">
        <v>1276</v>
      </c>
      <c r="C315" t="s">
        <v>1277</v>
      </c>
      <c r="D315" t="s">
        <v>1278</v>
      </c>
      <c r="E315" s="4">
        <v>24198</v>
      </c>
      <c r="F315" s="4">
        <v>29556</v>
      </c>
      <c r="G315" t="s">
        <v>296</v>
      </c>
      <c r="H315">
        <v>1049.5</v>
      </c>
      <c r="I315">
        <v>1414</v>
      </c>
      <c r="J315">
        <f t="shared" si="4"/>
        <v>2463.5</v>
      </c>
    </row>
    <row r="316" ht="14.5" spans="1:11">
      <c r="A316">
        <v>315</v>
      </c>
      <c r="B316" s="3" t="s">
        <v>1279</v>
      </c>
      <c r="C316" t="s">
        <v>1280</v>
      </c>
      <c r="D316" t="s">
        <v>1281</v>
      </c>
      <c r="E316" t="s">
        <v>1268</v>
      </c>
      <c r="F316" t="s">
        <v>272</v>
      </c>
      <c r="G316" t="s">
        <v>1246</v>
      </c>
      <c r="H316">
        <v>1464.21</v>
      </c>
      <c r="I316">
        <v>2001.11</v>
      </c>
      <c r="J316">
        <f t="shared" si="4"/>
        <v>3465.32</v>
      </c>
    </row>
    <row r="317" ht="14.5" spans="1:11">
      <c r="A317">
        <v>316</v>
      </c>
      <c r="B317" s="3" t="s">
        <v>1282</v>
      </c>
      <c r="C317" t="s">
        <v>1283</v>
      </c>
      <c r="D317" t="s">
        <v>1284</v>
      </c>
      <c r="E317" t="s">
        <v>1285</v>
      </c>
      <c r="F317" t="s">
        <v>43</v>
      </c>
      <c r="G317" t="s">
        <v>16</v>
      </c>
      <c r="H317">
        <v>1953</v>
      </c>
      <c r="I317">
        <v>1589</v>
      </c>
      <c r="J317">
        <f t="shared" si="4"/>
        <v>3542</v>
      </c>
    </row>
    <row r="318" spans="1:11">
      <c r="A318">
        <v>317</v>
      </c>
      <c r="B318" s="5" t="s">
        <v>1286</v>
      </c>
      <c r="C318" t="s">
        <v>1287</v>
      </c>
      <c r="D318" t="s">
        <v>1288</v>
      </c>
      <c r="E318" t="s">
        <v>147</v>
      </c>
      <c r="F318" t="s">
        <v>137</v>
      </c>
      <c r="G318" t="s">
        <v>16</v>
      </c>
      <c r="H318">
        <v>1464.5</v>
      </c>
      <c r="I318">
        <v>1589</v>
      </c>
      <c r="J318">
        <f t="shared" si="4"/>
        <v>3053.5</v>
      </c>
    </row>
    <row r="319" ht="14.5" spans="1:11">
      <c r="A319">
        <v>318</v>
      </c>
      <c r="B319" s="3" t="s">
        <v>1289</v>
      </c>
      <c r="C319" t="s">
        <v>1290</v>
      </c>
      <c r="D319" t="s">
        <v>1291</v>
      </c>
      <c r="E319" t="s">
        <v>186</v>
      </c>
      <c r="F319" t="s">
        <v>1292</v>
      </c>
      <c r="G319" t="s">
        <v>1246</v>
      </c>
      <c r="H319">
        <v>1607.76</v>
      </c>
      <c r="I319">
        <v>2007.25</v>
      </c>
      <c r="J319">
        <f t="shared" si="4"/>
        <v>3615.01</v>
      </c>
    </row>
    <row r="320" ht="14.5" spans="1:11">
      <c r="A320">
        <v>319</v>
      </c>
      <c r="B320" s="3" t="s">
        <v>1104</v>
      </c>
      <c r="C320" t="s">
        <v>1293</v>
      </c>
      <c r="D320" t="s">
        <v>1294</v>
      </c>
      <c r="E320" t="s">
        <v>239</v>
      </c>
      <c r="F320" t="s">
        <v>686</v>
      </c>
      <c r="G320" t="s">
        <v>16</v>
      </c>
      <c r="H320">
        <v>2007</v>
      </c>
      <c r="I320">
        <v>1589</v>
      </c>
      <c r="J320">
        <f t="shared" si="4"/>
        <v>3596</v>
      </c>
      <c r="K320" t="s">
        <v>1295</v>
      </c>
    </row>
    <row r="321" ht="14.5" spans="1:10">
      <c r="A321">
        <v>320</v>
      </c>
      <c r="B321" s="3" t="s">
        <v>1296</v>
      </c>
      <c r="C321" t="s">
        <v>1297</v>
      </c>
      <c r="D321" t="s">
        <v>1298</v>
      </c>
      <c r="E321" t="s">
        <v>1299</v>
      </c>
      <c r="F321" t="s">
        <v>1300</v>
      </c>
      <c r="G321" t="s">
        <v>78</v>
      </c>
      <c r="H321">
        <v>1533.51</v>
      </c>
      <c r="I321">
        <v>2004.07</v>
      </c>
      <c r="J321">
        <f t="shared" si="4"/>
        <v>3537.58</v>
      </c>
    </row>
    <row r="322" ht="14.5" spans="1:10">
      <c r="A322">
        <v>321</v>
      </c>
      <c r="B322" s="3" t="s">
        <v>1301</v>
      </c>
      <c r="C322" t="s">
        <v>1302</v>
      </c>
      <c r="D322" t="s">
        <v>1303</v>
      </c>
      <c r="E322" t="s">
        <v>1304</v>
      </c>
      <c r="F322" t="s">
        <v>1305</v>
      </c>
      <c r="G322" t="s">
        <v>16</v>
      </c>
      <c r="H322">
        <v>1109.66</v>
      </c>
      <c r="I322">
        <v>1804.2</v>
      </c>
      <c r="J322">
        <f t="shared" si="4"/>
        <v>2913.86</v>
      </c>
    </row>
    <row r="323" ht="14.5" spans="1:10">
      <c r="A323">
        <v>322</v>
      </c>
      <c r="B323" s="3" t="s">
        <v>1306</v>
      </c>
      <c r="C323" t="s">
        <v>1307</v>
      </c>
      <c r="D323" t="s">
        <v>1308</v>
      </c>
      <c r="E323" t="s">
        <v>409</v>
      </c>
      <c r="F323" t="s">
        <v>1309</v>
      </c>
      <c r="G323" t="s">
        <v>78</v>
      </c>
      <c r="H323">
        <v>1533.51</v>
      </c>
      <c r="I323">
        <v>2004.07</v>
      </c>
      <c r="J323">
        <f t="shared" ref="J323:J386" si="5">SUM(H323:I323)</f>
        <v>3537.58</v>
      </c>
    </row>
    <row r="324" ht="14.5" spans="1:10">
      <c r="A324">
        <v>323</v>
      </c>
      <c r="B324" s="3" t="s">
        <v>1310</v>
      </c>
      <c r="C324" t="s">
        <v>1311</v>
      </c>
      <c r="D324" t="s">
        <v>1312</v>
      </c>
      <c r="E324" t="s">
        <v>234</v>
      </c>
      <c r="F324" t="s">
        <v>1313</v>
      </c>
      <c r="G324" t="s">
        <v>78</v>
      </c>
      <c r="H324">
        <v>1464.21</v>
      </c>
      <c r="I324">
        <v>2001.11</v>
      </c>
      <c r="J324">
        <f t="shared" si="5"/>
        <v>3465.32</v>
      </c>
    </row>
    <row r="325" ht="14.5" spans="1:10">
      <c r="A325">
        <v>324</v>
      </c>
      <c r="B325" s="3" t="s">
        <v>1314</v>
      </c>
      <c r="C325" t="s">
        <v>1315</v>
      </c>
      <c r="D325" t="s">
        <v>1316</v>
      </c>
      <c r="E325" t="s">
        <v>234</v>
      </c>
      <c r="F325" t="s">
        <v>1313</v>
      </c>
      <c r="G325" t="s">
        <v>78</v>
      </c>
      <c r="H325">
        <v>1746.36</v>
      </c>
      <c r="I325">
        <v>2365.9</v>
      </c>
      <c r="J325">
        <f t="shared" si="5"/>
        <v>4112.26</v>
      </c>
    </row>
    <row r="326" ht="14.5" spans="1:10">
      <c r="A326">
        <v>325</v>
      </c>
      <c r="B326" s="3" t="s">
        <v>1317</v>
      </c>
      <c r="C326" t="s">
        <v>1318</v>
      </c>
      <c r="D326" t="s">
        <v>1319</v>
      </c>
      <c r="E326" t="s">
        <v>331</v>
      </c>
      <c r="F326" t="s">
        <v>1320</v>
      </c>
      <c r="G326" t="s">
        <v>16</v>
      </c>
      <c r="H326">
        <v>1161.27</v>
      </c>
      <c r="I326">
        <v>1804.2</v>
      </c>
      <c r="J326">
        <f t="shared" si="5"/>
        <v>2965.47</v>
      </c>
    </row>
    <row r="327" ht="14.5" spans="1:10">
      <c r="A327">
        <v>326</v>
      </c>
      <c r="B327" s="3" t="s">
        <v>1321</v>
      </c>
      <c r="C327" t="s">
        <v>1322</v>
      </c>
      <c r="D327" t="s">
        <v>1323</v>
      </c>
      <c r="E327" t="s">
        <v>1324</v>
      </c>
      <c r="F327" t="s">
        <v>1325</v>
      </c>
      <c r="H327">
        <v>1309.7</v>
      </c>
      <c r="I327">
        <v>1995.78</v>
      </c>
      <c r="J327">
        <f t="shared" si="5"/>
        <v>3305.48</v>
      </c>
    </row>
    <row r="328" ht="14.5" spans="1:10">
      <c r="A328">
        <v>327</v>
      </c>
      <c r="B328" s="3" t="s">
        <v>1326</v>
      </c>
      <c r="C328" t="s">
        <v>1327</v>
      </c>
      <c r="D328" t="s">
        <v>1328</v>
      </c>
      <c r="E328" t="s">
        <v>439</v>
      </c>
      <c r="F328" t="s">
        <v>1325</v>
      </c>
      <c r="H328">
        <v>1343.43</v>
      </c>
      <c r="I328">
        <v>1811.99</v>
      </c>
      <c r="J328">
        <f t="shared" si="5"/>
        <v>3155.42</v>
      </c>
    </row>
    <row r="329" ht="14.5" spans="1:10">
      <c r="A329">
        <v>328</v>
      </c>
      <c r="B329" s="3" t="s">
        <v>1329</v>
      </c>
      <c r="C329" t="s">
        <v>1330</v>
      </c>
      <c r="D329" t="s">
        <v>1331</v>
      </c>
      <c r="E329" t="s">
        <v>1332</v>
      </c>
      <c r="F329" t="s">
        <v>1333</v>
      </c>
      <c r="G329" t="s">
        <v>78</v>
      </c>
      <c r="H329">
        <v>1369.17</v>
      </c>
      <c r="I329">
        <v>1997.05</v>
      </c>
      <c r="J329">
        <f t="shared" si="5"/>
        <v>3366.22</v>
      </c>
    </row>
    <row r="330" ht="14.5" spans="1:10">
      <c r="A330">
        <v>329</v>
      </c>
      <c r="B330" s="3" t="s">
        <v>1334</v>
      </c>
      <c r="C330" t="s">
        <v>1335</v>
      </c>
      <c r="D330" t="s">
        <v>1336</v>
      </c>
      <c r="E330" t="s">
        <v>1337</v>
      </c>
      <c r="F330" t="s">
        <v>1338</v>
      </c>
      <c r="H330">
        <v>1250.37</v>
      </c>
      <c r="I330">
        <v>1991.97</v>
      </c>
      <c r="J330">
        <f t="shared" si="5"/>
        <v>3242.34</v>
      </c>
    </row>
    <row r="331" ht="14.5" spans="1:10">
      <c r="A331">
        <v>330</v>
      </c>
      <c r="B331" s="3" t="s">
        <v>1339</v>
      </c>
      <c r="C331" t="s">
        <v>1340</v>
      </c>
      <c r="D331" t="s">
        <v>1341</v>
      </c>
      <c r="E331" t="s">
        <v>1304</v>
      </c>
      <c r="F331" t="s">
        <v>1338</v>
      </c>
      <c r="H331">
        <v>806.68</v>
      </c>
      <c r="I331">
        <v>1710.35</v>
      </c>
      <c r="J331">
        <f t="shared" si="5"/>
        <v>2517.03</v>
      </c>
    </row>
    <row r="332" spans="1:10">
      <c r="A332">
        <v>331</v>
      </c>
      <c r="B332" s="5" t="s">
        <v>1342</v>
      </c>
      <c r="C332" t="s">
        <v>1343</v>
      </c>
      <c r="D332" t="s">
        <v>1344</v>
      </c>
      <c r="E332" t="s">
        <v>1345</v>
      </c>
      <c r="F332" t="s">
        <v>1346</v>
      </c>
      <c r="G332" t="s">
        <v>296</v>
      </c>
      <c r="H332">
        <v>1458.5</v>
      </c>
      <c r="I332">
        <v>1414</v>
      </c>
      <c r="J332">
        <f t="shared" si="5"/>
        <v>2872.5</v>
      </c>
    </row>
    <row r="333" ht="14.5" spans="1:10">
      <c r="A333">
        <v>332</v>
      </c>
      <c r="B333" s="3" t="s">
        <v>1347</v>
      </c>
      <c r="C333" t="s">
        <v>1348</v>
      </c>
      <c r="D333" t="s">
        <v>1349</v>
      </c>
      <c r="E333" t="s">
        <v>807</v>
      </c>
      <c r="F333" s="4">
        <v>40391</v>
      </c>
      <c r="G333" t="s">
        <v>562</v>
      </c>
      <c r="H333">
        <v>1636.1</v>
      </c>
      <c r="I333">
        <v>1508</v>
      </c>
      <c r="J333">
        <f t="shared" si="5"/>
        <v>3144.1</v>
      </c>
    </row>
    <row r="334" ht="14.5" spans="1:10">
      <c r="A334">
        <v>333</v>
      </c>
      <c r="B334" s="3" t="s">
        <v>1350</v>
      </c>
      <c r="C334" t="s">
        <v>1351</v>
      </c>
      <c r="D334" s="4">
        <v>16128</v>
      </c>
      <c r="E334" s="4">
        <v>23743</v>
      </c>
      <c r="F334" s="4">
        <v>36192</v>
      </c>
      <c r="G334" t="s">
        <v>16</v>
      </c>
      <c r="H334">
        <v>1420</v>
      </c>
      <c r="I334">
        <v>1589</v>
      </c>
      <c r="J334">
        <f t="shared" si="5"/>
        <v>3009</v>
      </c>
    </row>
    <row r="335" ht="14.5" spans="1:10">
      <c r="A335">
        <v>334</v>
      </c>
      <c r="B335" s="3" t="s">
        <v>1352</v>
      </c>
      <c r="C335" t="s">
        <v>1353</v>
      </c>
      <c r="D335" t="s">
        <v>1354</v>
      </c>
      <c r="E335" s="4">
        <v>26146</v>
      </c>
      <c r="F335" s="4">
        <v>39965</v>
      </c>
      <c r="G335" t="s">
        <v>562</v>
      </c>
      <c r="H335">
        <v>1636.1</v>
      </c>
      <c r="I335">
        <v>1508</v>
      </c>
      <c r="J335">
        <f t="shared" si="5"/>
        <v>3144.1</v>
      </c>
    </row>
    <row r="336" ht="14.5" spans="1:10">
      <c r="A336">
        <v>335</v>
      </c>
      <c r="B336" s="3" t="s">
        <v>1355</v>
      </c>
      <c r="C336" t="s">
        <v>1356</v>
      </c>
      <c r="D336" t="s">
        <v>1357</v>
      </c>
      <c r="E336" t="s">
        <v>1358</v>
      </c>
      <c r="F336" t="s">
        <v>1359</v>
      </c>
      <c r="H336">
        <v>1412.1</v>
      </c>
      <c r="I336">
        <v>1924.12</v>
      </c>
      <c r="J336">
        <f t="shared" si="5"/>
        <v>3336.22</v>
      </c>
    </row>
    <row r="337" ht="14.5" spans="1:10">
      <c r="A337">
        <v>336</v>
      </c>
      <c r="B337" s="3" t="s">
        <v>1360</v>
      </c>
      <c r="C337" t="s">
        <v>1361</v>
      </c>
      <c r="D337" t="s">
        <v>1362</v>
      </c>
      <c r="E337" t="s">
        <v>1363</v>
      </c>
      <c r="F337" t="s">
        <v>1364</v>
      </c>
      <c r="G337" t="s">
        <v>16</v>
      </c>
      <c r="H337">
        <v>2049</v>
      </c>
      <c r="I337">
        <v>1589</v>
      </c>
      <c r="J337">
        <f t="shared" si="5"/>
        <v>3638</v>
      </c>
    </row>
    <row r="338" ht="14.5" spans="1:10">
      <c r="A338">
        <v>337</v>
      </c>
      <c r="B338" s="3" t="s">
        <v>1365</v>
      </c>
      <c r="C338" t="s">
        <v>1366</v>
      </c>
      <c r="D338" t="s">
        <v>1367</v>
      </c>
      <c r="E338" t="s">
        <v>1368</v>
      </c>
      <c r="F338" s="4">
        <v>40940</v>
      </c>
      <c r="G338" t="s">
        <v>16</v>
      </c>
      <c r="H338">
        <v>2007</v>
      </c>
      <c r="I338">
        <v>1589</v>
      </c>
      <c r="J338">
        <f t="shared" si="5"/>
        <v>3596</v>
      </c>
    </row>
    <row r="339" ht="14.5" spans="1:10">
      <c r="A339">
        <v>338</v>
      </c>
      <c r="B339" s="3" t="s">
        <v>1369</v>
      </c>
      <c r="C339" t="s">
        <v>1370</v>
      </c>
      <c r="D339" t="s">
        <v>1371</v>
      </c>
      <c r="E339" t="s">
        <v>1372</v>
      </c>
      <c r="F339" s="4">
        <v>32082</v>
      </c>
      <c r="G339" t="s">
        <v>296</v>
      </c>
      <c r="H339">
        <v>1566</v>
      </c>
      <c r="I339">
        <v>1589</v>
      </c>
      <c r="J339">
        <f t="shared" si="5"/>
        <v>3155</v>
      </c>
    </row>
    <row r="340" ht="14.5" spans="1:10">
      <c r="A340">
        <v>339</v>
      </c>
      <c r="B340" s="3" t="s">
        <v>1373</v>
      </c>
      <c r="C340" t="s">
        <v>1374</v>
      </c>
      <c r="D340" t="s">
        <v>1375</v>
      </c>
      <c r="E340" t="s">
        <v>1376</v>
      </c>
      <c r="F340" s="4">
        <v>39234</v>
      </c>
      <c r="G340" t="s">
        <v>16</v>
      </c>
      <c r="H340">
        <v>1897</v>
      </c>
      <c r="I340">
        <v>1589</v>
      </c>
      <c r="J340">
        <f t="shared" si="5"/>
        <v>3486</v>
      </c>
    </row>
    <row r="341" ht="14.5" spans="1:10">
      <c r="A341">
        <v>340</v>
      </c>
      <c r="B341" s="3" t="s">
        <v>1377</v>
      </c>
      <c r="C341" t="s">
        <v>1378</v>
      </c>
      <c r="D341" t="s">
        <v>1379</v>
      </c>
      <c r="E341" t="s">
        <v>1380</v>
      </c>
      <c r="F341" s="4">
        <v>37104</v>
      </c>
      <c r="G341" t="s">
        <v>16</v>
      </c>
      <c r="H341">
        <v>1492</v>
      </c>
      <c r="I341">
        <v>1589</v>
      </c>
      <c r="J341">
        <f t="shared" si="5"/>
        <v>3081</v>
      </c>
    </row>
    <row r="342" ht="14.5" spans="1:10">
      <c r="A342">
        <v>341</v>
      </c>
      <c r="B342" s="3" t="s">
        <v>1381</v>
      </c>
      <c r="C342" t="s">
        <v>1382</v>
      </c>
      <c r="D342" t="s">
        <v>1383</v>
      </c>
      <c r="E342" t="s">
        <v>1368</v>
      </c>
      <c r="F342" s="4">
        <v>40848</v>
      </c>
      <c r="G342" t="s">
        <v>16</v>
      </c>
      <c r="H342">
        <v>1970</v>
      </c>
      <c r="I342">
        <v>1589</v>
      </c>
      <c r="J342">
        <f t="shared" si="5"/>
        <v>3559</v>
      </c>
    </row>
    <row r="343" ht="14.5" spans="1:10">
      <c r="A343">
        <v>342</v>
      </c>
      <c r="B343" s="3" t="s">
        <v>1384</v>
      </c>
      <c r="C343" t="s">
        <v>1385</v>
      </c>
      <c r="D343" t="s">
        <v>1386</v>
      </c>
      <c r="E343" s="4">
        <v>23802</v>
      </c>
      <c r="F343" s="4">
        <v>36770</v>
      </c>
      <c r="G343" t="s">
        <v>16</v>
      </c>
      <c r="H343">
        <v>1531</v>
      </c>
      <c r="I343">
        <v>1589</v>
      </c>
      <c r="J343">
        <f t="shared" si="5"/>
        <v>3120</v>
      </c>
    </row>
    <row r="344" ht="14.5" spans="1:10">
      <c r="A344">
        <v>343</v>
      </c>
      <c r="B344" s="3" t="s">
        <v>1387</v>
      </c>
      <c r="C344" t="s">
        <v>1388</v>
      </c>
      <c r="D344" t="s">
        <v>1389</v>
      </c>
      <c r="E344" t="s">
        <v>1390</v>
      </c>
      <c r="F344" t="s">
        <v>1391</v>
      </c>
      <c r="G344" t="s">
        <v>16</v>
      </c>
      <c r="H344">
        <v>1864</v>
      </c>
      <c r="I344">
        <v>1589</v>
      </c>
      <c r="J344">
        <f t="shared" si="5"/>
        <v>3453</v>
      </c>
    </row>
    <row r="345" ht="14.5" spans="1:10">
      <c r="A345">
        <v>344</v>
      </c>
      <c r="B345" s="3" t="s">
        <v>1392</v>
      </c>
      <c r="C345" t="s">
        <v>1393</v>
      </c>
      <c r="D345" t="s">
        <v>1394</v>
      </c>
      <c r="E345" t="s">
        <v>1395</v>
      </c>
      <c r="F345" t="s">
        <v>1396</v>
      </c>
      <c r="H345">
        <v>1093.81</v>
      </c>
      <c r="I345">
        <v>1763.62</v>
      </c>
      <c r="J345">
        <f t="shared" si="5"/>
        <v>2857.43</v>
      </c>
    </row>
    <row r="346" ht="14.5" spans="1:10">
      <c r="A346">
        <v>345</v>
      </c>
      <c r="B346" s="3" t="s">
        <v>1397</v>
      </c>
      <c r="C346" t="s">
        <v>1398</v>
      </c>
      <c r="D346" t="s">
        <v>1399</v>
      </c>
      <c r="E346" t="s">
        <v>1400</v>
      </c>
      <c r="F346" t="s">
        <v>1401</v>
      </c>
      <c r="G346" t="s">
        <v>16</v>
      </c>
      <c r="H346">
        <v>1970.5</v>
      </c>
      <c r="I346">
        <v>1589</v>
      </c>
      <c r="J346">
        <f t="shared" si="5"/>
        <v>3559.5</v>
      </c>
    </row>
    <row r="347" ht="14.5" spans="1:10">
      <c r="A347">
        <v>346</v>
      </c>
      <c r="B347" s="3" t="s">
        <v>1402</v>
      </c>
      <c r="C347" t="s">
        <v>1403</v>
      </c>
      <c r="D347" t="s">
        <v>1404</v>
      </c>
      <c r="E347" t="s">
        <v>1405</v>
      </c>
      <c r="F347" t="s">
        <v>1406</v>
      </c>
      <c r="G347" t="s">
        <v>16</v>
      </c>
      <c r="H347">
        <v>1752</v>
      </c>
      <c r="I347">
        <v>1589</v>
      </c>
      <c r="J347">
        <f t="shared" si="5"/>
        <v>3341</v>
      </c>
    </row>
    <row r="348" ht="14.5" spans="1:10">
      <c r="A348">
        <v>347</v>
      </c>
      <c r="B348" s="3" t="s">
        <v>1407</v>
      </c>
      <c r="C348" t="s">
        <v>1408</v>
      </c>
      <c r="D348" t="s">
        <v>1409</v>
      </c>
      <c r="E348" t="s">
        <v>1410</v>
      </c>
      <c r="F348" t="s">
        <v>1411</v>
      </c>
      <c r="G348" t="s">
        <v>16</v>
      </c>
      <c r="H348">
        <v>1917</v>
      </c>
      <c r="I348">
        <v>1589</v>
      </c>
      <c r="J348">
        <f t="shared" si="5"/>
        <v>3506</v>
      </c>
    </row>
    <row r="349" spans="1:10">
      <c r="A349">
        <v>348</v>
      </c>
      <c r="B349" s="5" t="s">
        <v>1412</v>
      </c>
      <c r="C349" t="s">
        <v>1413</v>
      </c>
      <c r="D349" t="s">
        <v>1414</v>
      </c>
      <c r="E349" t="s">
        <v>1415</v>
      </c>
      <c r="F349" t="s">
        <v>1416</v>
      </c>
      <c r="G349" t="s">
        <v>16</v>
      </c>
      <c r="H349">
        <v>1622</v>
      </c>
      <c r="I349">
        <v>1589</v>
      </c>
      <c r="J349">
        <f t="shared" si="5"/>
        <v>3211</v>
      </c>
    </row>
    <row r="350" ht="14.5" spans="1:10">
      <c r="A350">
        <v>349</v>
      </c>
      <c r="B350" s="3" t="s">
        <v>1417</v>
      </c>
      <c r="C350" t="s">
        <v>1418</v>
      </c>
      <c r="D350" t="s">
        <v>1419</v>
      </c>
      <c r="E350" t="s">
        <v>1420</v>
      </c>
      <c r="F350" t="s">
        <v>1421</v>
      </c>
      <c r="G350" t="s">
        <v>16</v>
      </c>
      <c r="H350">
        <v>2007</v>
      </c>
      <c r="I350">
        <v>1589</v>
      </c>
      <c r="J350">
        <f t="shared" si="5"/>
        <v>3596</v>
      </c>
    </row>
    <row r="351" ht="14.5" spans="1:10">
      <c r="A351">
        <v>350</v>
      </c>
      <c r="B351" s="3" t="s">
        <v>1422</v>
      </c>
      <c r="C351" t="s">
        <v>1423</v>
      </c>
      <c r="D351" t="s">
        <v>1424</v>
      </c>
      <c r="E351" t="s">
        <v>1425</v>
      </c>
      <c r="F351" t="s">
        <v>1426</v>
      </c>
      <c r="G351" t="s">
        <v>16</v>
      </c>
      <c r="H351">
        <v>1799</v>
      </c>
      <c r="I351">
        <v>1589</v>
      </c>
      <c r="J351">
        <f t="shared" si="5"/>
        <v>3388</v>
      </c>
    </row>
    <row r="352" ht="14.5" spans="1:10">
      <c r="A352">
        <v>351</v>
      </c>
      <c r="B352" s="3" t="s">
        <v>1427</v>
      </c>
      <c r="C352" t="s">
        <v>1428</v>
      </c>
      <c r="D352" s="4">
        <v>16787</v>
      </c>
      <c r="E352" s="4">
        <v>23894</v>
      </c>
      <c r="F352" s="4">
        <v>36861</v>
      </c>
      <c r="G352" t="s">
        <v>16</v>
      </c>
      <c r="H352">
        <v>1468.5</v>
      </c>
      <c r="I352">
        <v>1589</v>
      </c>
      <c r="J352">
        <f t="shared" si="5"/>
        <v>3057.5</v>
      </c>
    </row>
    <row r="353" ht="14.5" spans="1:10">
      <c r="A353">
        <v>352</v>
      </c>
      <c r="B353" s="3" t="s">
        <v>1429</v>
      </c>
      <c r="C353" t="s">
        <v>1430</v>
      </c>
      <c r="D353" t="s">
        <v>1431</v>
      </c>
      <c r="E353" t="s">
        <v>1432</v>
      </c>
      <c r="F353" t="s">
        <v>1433</v>
      </c>
      <c r="G353" t="s">
        <v>16</v>
      </c>
      <c r="H353">
        <v>1847</v>
      </c>
      <c r="I353">
        <v>1589</v>
      </c>
      <c r="J353">
        <f t="shared" si="5"/>
        <v>3436</v>
      </c>
    </row>
    <row r="354" ht="14.5" spans="1:10">
      <c r="A354">
        <v>353</v>
      </c>
      <c r="B354" s="3" t="s">
        <v>1434</v>
      </c>
      <c r="C354" t="s">
        <v>1435</v>
      </c>
      <c r="D354" t="s">
        <v>1436</v>
      </c>
      <c r="E354" t="s">
        <v>1437</v>
      </c>
      <c r="F354" t="s">
        <v>1438</v>
      </c>
      <c r="G354" t="s">
        <v>16</v>
      </c>
      <c r="H354">
        <v>1488.5</v>
      </c>
      <c r="I354">
        <v>1589</v>
      </c>
      <c r="J354">
        <f t="shared" si="5"/>
        <v>3077.5</v>
      </c>
    </row>
    <row r="355" ht="14.5" spans="1:10">
      <c r="A355">
        <v>354</v>
      </c>
      <c r="B355" s="3" t="s">
        <v>1439</v>
      </c>
      <c r="C355" t="s">
        <v>1440</v>
      </c>
      <c r="D355" t="s">
        <v>1441</v>
      </c>
      <c r="E355" t="s">
        <v>1390</v>
      </c>
      <c r="F355" t="s">
        <v>1442</v>
      </c>
      <c r="G355" t="s">
        <v>16</v>
      </c>
      <c r="H355">
        <v>1847</v>
      </c>
      <c r="I355">
        <v>1589</v>
      </c>
      <c r="J355">
        <f t="shared" si="5"/>
        <v>3436</v>
      </c>
    </row>
    <row r="356" ht="14.5" spans="1:10">
      <c r="A356">
        <v>355</v>
      </c>
      <c r="B356" s="3" t="s">
        <v>1443</v>
      </c>
      <c r="C356" t="s">
        <v>1444</v>
      </c>
      <c r="D356" t="s">
        <v>1445</v>
      </c>
      <c r="E356" t="s">
        <v>1446</v>
      </c>
      <c r="F356" t="s">
        <v>1447</v>
      </c>
      <c r="G356" t="s">
        <v>16</v>
      </c>
      <c r="H356">
        <v>2007</v>
      </c>
      <c r="I356">
        <v>1589</v>
      </c>
      <c r="J356">
        <f t="shared" si="5"/>
        <v>3596</v>
      </c>
    </row>
    <row r="357" ht="14.5" spans="1:10">
      <c r="A357">
        <v>356</v>
      </c>
      <c r="B357" s="3" t="s">
        <v>1448</v>
      </c>
      <c r="C357" t="s">
        <v>1449</v>
      </c>
      <c r="D357" s="4">
        <v>15311</v>
      </c>
      <c r="E357" s="4">
        <v>21916</v>
      </c>
      <c r="F357" s="4">
        <v>35400</v>
      </c>
      <c r="G357" t="s">
        <v>78</v>
      </c>
      <c r="H357">
        <v>1426</v>
      </c>
      <c r="I357">
        <v>1494</v>
      </c>
      <c r="J357">
        <f t="shared" si="5"/>
        <v>2920</v>
      </c>
    </row>
    <row r="358" ht="14.5" spans="1:10">
      <c r="A358">
        <v>357</v>
      </c>
      <c r="B358" s="3" t="s">
        <v>1450</v>
      </c>
      <c r="C358" t="s">
        <v>1451</v>
      </c>
      <c r="D358" t="s">
        <v>1452</v>
      </c>
      <c r="E358" t="s">
        <v>1453</v>
      </c>
      <c r="F358" t="s">
        <v>1454</v>
      </c>
      <c r="G358" t="s">
        <v>16</v>
      </c>
      <c r="H358">
        <v>1969</v>
      </c>
      <c r="I358">
        <v>1589</v>
      </c>
      <c r="J358">
        <f t="shared" si="5"/>
        <v>3558</v>
      </c>
    </row>
    <row r="359" spans="1:10">
      <c r="A359">
        <v>358</v>
      </c>
      <c r="B359" s="5" t="s">
        <v>1455</v>
      </c>
      <c r="C359" t="s">
        <v>1456</v>
      </c>
      <c r="D359" t="s">
        <v>1457</v>
      </c>
      <c r="E359" t="s">
        <v>1458</v>
      </c>
      <c r="F359" t="s">
        <v>1459</v>
      </c>
      <c r="G359" t="s">
        <v>16</v>
      </c>
      <c r="H359">
        <v>1901</v>
      </c>
      <c r="I359">
        <v>1589</v>
      </c>
      <c r="J359">
        <f t="shared" si="5"/>
        <v>3490</v>
      </c>
    </row>
    <row r="360" ht="14.5" spans="1:10">
      <c r="A360">
        <v>359</v>
      </c>
      <c r="B360" s="3" t="s">
        <v>1460</v>
      </c>
      <c r="C360" t="s">
        <v>1461</v>
      </c>
      <c r="D360" t="s">
        <v>1462</v>
      </c>
      <c r="E360" t="s">
        <v>1463</v>
      </c>
      <c r="F360" t="s">
        <v>1464</v>
      </c>
      <c r="G360" t="s">
        <v>16</v>
      </c>
      <c r="H360">
        <v>1372.5</v>
      </c>
      <c r="I360">
        <v>1589</v>
      </c>
      <c r="J360">
        <f t="shared" si="5"/>
        <v>2961.5</v>
      </c>
    </row>
    <row r="361" ht="14.5" spans="1:10">
      <c r="A361">
        <v>360</v>
      </c>
      <c r="B361" s="3" t="s">
        <v>1465</v>
      </c>
      <c r="C361" t="s">
        <v>1466</v>
      </c>
      <c r="D361" s="4">
        <v>20378</v>
      </c>
      <c r="E361" s="4">
        <v>28004</v>
      </c>
      <c r="F361" s="4">
        <v>40087</v>
      </c>
      <c r="G361" t="s">
        <v>16</v>
      </c>
      <c r="H361">
        <v>1864</v>
      </c>
      <c r="I361">
        <v>1589</v>
      </c>
      <c r="J361">
        <f t="shared" si="5"/>
        <v>3453</v>
      </c>
    </row>
    <row r="362" ht="14.5" spans="1:10">
      <c r="A362">
        <v>361</v>
      </c>
      <c r="B362" s="3" t="s">
        <v>1467</v>
      </c>
      <c r="C362" t="s">
        <v>1468</v>
      </c>
      <c r="D362" t="s">
        <v>1469</v>
      </c>
      <c r="E362" t="s">
        <v>1470</v>
      </c>
      <c r="F362" s="4">
        <v>38899</v>
      </c>
      <c r="G362" t="s">
        <v>16</v>
      </c>
      <c r="H362">
        <v>1691</v>
      </c>
      <c r="I362">
        <v>1589</v>
      </c>
      <c r="J362">
        <f t="shared" si="5"/>
        <v>3280</v>
      </c>
    </row>
    <row r="363" ht="14.5" spans="1:10">
      <c r="A363">
        <v>362</v>
      </c>
      <c r="B363" s="3" t="s">
        <v>1471</v>
      </c>
      <c r="C363" t="s">
        <v>1472</v>
      </c>
      <c r="D363" t="s">
        <v>1473</v>
      </c>
      <c r="E363" t="s">
        <v>1474</v>
      </c>
      <c r="F363" t="s">
        <v>1475</v>
      </c>
      <c r="H363">
        <v>1199.7</v>
      </c>
      <c r="I363">
        <v>1915.04</v>
      </c>
      <c r="J363">
        <f t="shared" si="5"/>
        <v>3114.74</v>
      </c>
    </row>
    <row r="364" ht="14.5" spans="1:10">
      <c r="A364">
        <v>363</v>
      </c>
      <c r="B364" s="3" t="s">
        <v>1476</v>
      </c>
      <c r="C364" t="s">
        <v>1477</v>
      </c>
      <c r="D364" t="s">
        <v>1478</v>
      </c>
      <c r="E364" t="s">
        <v>1479</v>
      </c>
      <c r="F364" t="s">
        <v>1480</v>
      </c>
      <c r="H364">
        <v>1647.36</v>
      </c>
      <c r="I364">
        <v>2008.94</v>
      </c>
      <c r="J364">
        <f t="shared" si="5"/>
        <v>3656.3</v>
      </c>
    </row>
    <row r="365" ht="14.5" spans="1:10">
      <c r="A365">
        <v>364</v>
      </c>
      <c r="B365" s="3" t="s">
        <v>1481</v>
      </c>
      <c r="C365" t="s">
        <v>1482</v>
      </c>
      <c r="D365" t="s">
        <v>1483</v>
      </c>
      <c r="E365" t="s">
        <v>1484</v>
      </c>
      <c r="F365" t="s">
        <v>1485</v>
      </c>
      <c r="G365" t="s">
        <v>16</v>
      </c>
      <c r="H365">
        <v>2132</v>
      </c>
      <c r="I365">
        <v>1589</v>
      </c>
      <c r="J365">
        <f t="shared" si="5"/>
        <v>3721</v>
      </c>
    </row>
    <row r="366" ht="14.5" spans="1:10">
      <c r="A366">
        <v>365</v>
      </c>
      <c r="B366" s="3" t="s">
        <v>1486</v>
      </c>
      <c r="C366" t="s">
        <v>1487</v>
      </c>
      <c r="D366" t="s">
        <v>1488</v>
      </c>
      <c r="E366" t="s">
        <v>1489</v>
      </c>
      <c r="F366" s="4">
        <v>40725</v>
      </c>
      <c r="G366" t="s">
        <v>16</v>
      </c>
      <c r="H366">
        <v>1768</v>
      </c>
      <c r="I366">
        <v>1589</v>
      </c>
      <c r="J366">
        <f t="shared" si="5"/>
        <v>3357</v>
      </c>
    </row>
    <row r="367" ht="14.5" spans="1:10">
      <c r="A367">
        <v>366</v>
      </c>
      <c r="B367" s="3" t="s">
        <v>1490</v>
      </c>
      <c r="C367" t="s">
        <v>1491</v>
      </c>
      <c r="D367" t="s">
        <v>1492</v>
      </c>
      <c r="E367" s="4">
        <v>27120</v>
      </c>
      <c r="F367" s="4">
        <v>40969</v>
      </c>
      <c r="G367" t="s">
        <v>16</v>
      </c>
      <c r="H367">
        <v>2049</v>
      </c>
      <c r="I367">
        <v>1589</v>
      </c>
      <c r="J367">
        <f t="shared" si="5"/>
        <v>3638</v>
      </c>
    </row>
    <row r="368" ht="14.5" spans="1:10">
      <c r="A368">
        <v>367</v>
      </c>
      <c r="B368" s="3" t="s">
        <v>1493</v>
      </c>
      <c r="C368" t="s">
        <v>1494</v>
      </c>
      <c r="D368" t="s">
        <v>1495</v>
      </c>
      <c r="E368" t="s">
        <v>97</v>
      </c>
      <c r="F368" t="s">
        <v>936</v>
      </c>
      <c r="G368" t="s">
        <v>16</v>
      </c>
      <c r="H368">
        <v>1589</v>
      </c>
      <c r="I368">
        <v>1589</v>
      </c>
      <c r="J368">
        <f t="shared" si="5"/>
        <v>3178</v>
      </c>
    </row>
    <row r="369" ht="14.5" spans="1:10">
      <c r="A369">
        <v>368</v>
      </c>
      <c r="B369" s="3" t="s">
        <v>1496</v>
      </c>
      <c r="C369" t="s">
        <v>1497</v>
      </c>
      <c r="D369" t="s">
        <v>1498</v>
      </c>
      <c r="E369" t="s">
        <v>1499</v>
      </c>
      <c r="F369" t="s">
        <v>1500</v>
      </c>
      <c r="G369" t="s">
        <v>16</v>
      </c>
      <c r="H369">
        <v>1934.5</v>
      </c>
      <c r="I369">
        <v>1589</v>
      </c>
      <c r="J369">
        <f t="shared" si="5"/>
        <v>3523.5</v>
      </c>
    </row>
    <row r="370" ht="14.5" spans="1:10">
      <c r="A370">
        <v>369</v>
      </c>
      <c r="B370" s="3" t="s">
        <v>1501</v>
      </c>
      <c r="C370" t="s">
        <v>1502</v>
      </c>
      <c r="D370" t="s">
        <v>1503</v>
      </c>
      <c r="E370" t="s">
        <v>1504</v>
      </c>
      <c r="F370" t="s">
        <v>1505</v>
      </c>
      <c r="G370" t="s">
        <v>924</v>
      </c>
      <c r="H370">
        <v>1498.86</v>
      </c>
      <c r="I370">
        <v>2002.59</v>
      </c>
      <c r="J370">
        <f t="shared" si="5"/>
        <v>3501.45</v>
      </c>
    </row>
    <row r="371" ht="14.5" spans="1:10">
      <c r="A371">
        <v>370</v>
      </c>
      <c r="B371" s="3" t="s">
        <v>1506</v>
      </c>
      <c r="C371" t="s">
        <v>1507</v>
      </c>
      <c r="D371" t="s">
        <v>1508</v>
      </c>
      <c r="E371" t="s">
        <v>1509</v>
      </c>
      <c r="F371" t="s">
        <v>1510</v>
      </c>
      <c r="G371" t="s">
        <v>16</v>
      </c>
      <c r="H371">
        <v>1720.6</v>
      </c>
      <c r="I371">
        <v>1589</v>
      </c>
      <c r="J371">
        <f t="shared" si="5"/>
        <v>3309.6</v>
      </c>
    </row>
    <row r="372" ht="14.5" spans="1:10">
      <c r="A372">
        <v>371</v>
      </c>
      <c r="B372" s="3" t="s">
        <v>1511</v>
      </c>
      <c r="C372" t="s">
        <v>1512</v>
      </c>
      <c r="D372" t="s">
        <v>1513</v>
      </c>
      <c r="E372" t="s">
        <v>1405</v>
      </c>
      <c r="F372" t="s">
        <v>1514</v>
      </c>
      <c r="G372" t="s">
        <v>16</v>
      </c>
      <c r="H372">
        <v>2090</v>
      </c>
      <c r="I372">
        <v>1589</v>
      </c>
      <c r="J372">
        <f t="shared" si="5"/>
        <v>3679</v>
      </c>
    </row>
    <row r="373" ht="14.5" spans="1:10">
      <c r="A373">
        <v>372</v>
      </c>
      <c r="B373" s="3" t="s">
        <v>1515</v>
      </c>
      <c r="C373" t="s">
        <v>1516</v>
      </c>
      <c r="D373" t="s">
        <v>1517</v>
      </c>
      <c r="E373" t="s">
        <v>1518</v>
      </c>
      <c r="F373" t="s">
        <v>1519</v>
      </c>
      <c r="G373" t="s">
        <v>924</v>
      </c>
      <c r="H373">
        <v>1533.51</v>
      </c>
      <c r="I373">
        <v>2004.07</v>
      </c>
      <c r="J373">
        <f t="shared" si="5"/>
        <v>3537.58</v>
      </c>
    </row>
    <row r="374" ht="14.5" spans="1:10">
      <c r="A374">
        <v>373</v>
      </c>
      <c r="B374" s="3" t="s">
        <v>1520</v>
      </c>
      <c r="C374" t="s">
        <v>1521</v>
      </c>
      <c r="D374" t="s">
        <v>1522</v>
      </c>
      <c r="E374" t="s">
        <v>1523</v>
      </c>
      <c r="F374" t="s">
        <v>1524</v>
      </c>
      <c r="G374" t="s">
        <v>16</v>
      </c>
      <c r="H374">
        <v>1848</v>
      </c>
      <c r="I374">
        <v>1589</v>
      </c>
      <c r="J374">
        <f t="shared" si="5"/>
        <v>3437</v>
      </c>
    </row>
    <row r="375" ht="14.5" spans="1:10">
      <c r="A375">
        <v>374</v>
      </c>
      <c r="B375" s="3" t="s">
        <v>1525</v>
      </c>
      <c r="C375" t="s">
        <v>1526</v>
      </c>
      <c r="D375" t="s">
        <v>1527</v>
      </c>
      <c r="E375" t="s">
        <v>1528</v>
      </c>
      <c r="F375" t="s">
        <v>1529</v>
      </c>
      <c r="G375" t="s">
        <v>16</v>
      </c>
      <c r="H375">
        <v>1782.3</v>
      </c>
      <c r="I375">
        <v>1589</v>
      </c>
      <c r="J375">
        <f t="shared" si="5"/>
        <v>3371.3</v>
      </c>
    </row>
    <row r="376" ht="14.5" spans="1:10">
      <c r="A376">
        <v>375</v>
      </c>
      <c r="B376" s="3" t="s">
        <v>1530</v>
      </c>
      <c r="C376" t="s">
        <v>1531</v>
      </c>
      <c r="D376" t="s">
        <v>1532</v>
      </c>
      <c r="E376" t="s">
        <v>1533</v>
      </c>
      <c r="F376" t="s">
        <v>1534</v>
      </c>
      <c r="G376" t="s">
        <v>16</v>
      </c>
      <c r="H376">
        <v>1953</v>
      </c>
      <c r="I376">
        <v>1589</v>
      </c>
      <c r="J376">
        <f t="shared" si="5"/>
        <v>3542</v>
      </c>
    </row>
    <row r="377" spans="1:10">
      <c r="A377">
        <v>376</v>
      </c>
      <c r="B377" s="5" t="s">
        <v>1535</v>
      </c>
      <c r="C377" t="s">
        <v>1536</v>
      </c>
      <c r="D377" t="s">
        <v>1537</v>
      </c>
      <c r="E377" t="s">
        <v>1538</v>
      </c>
      <c r="F377" t="s">
        <v>1539</v>
      </c>
      <c r="G377" t="s">
        <v>16</v>
      </c>
      <c r="H377">
        <v>1782.3</v>
      </c>
      <c r="I377">
        <v>1589</v>
      </c>
      <c r="J377">
        <f t="shared" si="5"/>
        <v>3371.3</v>
      </c>
    </row>
    <row r="378" ht="14.5" spans="1:10">
      <c r="A378">
        <v>377</v>
      </c>
      <c r="B378" s="3" t="s">
        <v>1540</v>
      </c>
      <c r="C378" t="s">
        <v>1541</v>
      </c>
      <c r="D378" t="s">
        <v>1542</v>
      </c>
      <c r="E378" t="s">
        <v>1543</v>
      </c>
      <c r="F378" t="s">
        <v>1544</v>
      </c>
      <c r="G378" t="s">
        <v>16</v>
      </c>
      <c r="H378">
        <v>1628.5</v>
      </c>
      <c r="I378">
        <v>1589</v>
      </c>
      <c r="J378">
        <f t="shared" si="5"/>
        <v>3217.5</v>
      </c>
    </row>
    <row r="379" ht="14.5" spans="1:10">
      <c r="A379">
        <v>378</v>
      </c>
      <c r="B379" s="3" t="s">
        <v>1545</v>
      </c>
      <c r="C379" t="s">
        <v>1546</v>
      </c>
      <c r="D379" t="s">
        <v>1547</v>
      </c>
      <c r="E379" t="s">
        <v>1548</v>
      </c>
      <c r="F379" t="s">
        <v>1549</v>
      </c>
      <c r="G379" t="s">
        <v>16</v>
      </c>
      <c r="H379">
        <v>1969.1</v>
      </c>
      <c r="I379">
        <v>1589</v>
      </c>
      <c r="J379">
        <f t="shared" si="5"/>
        <v>3558.1</v>
      </c>
    </row>
    <row r="380" ht="14.5" spans="1:10">
      <c r="A380">
        <v>379</v>
      </c>
      <c r="B380" s="3" t="s">
        <v>1550</v>
      </c>
      <c r="C380" t="s">
        <v>1551</v>
      </c>
      <c r="D380" t="s">
        <v>1552</v>
      </c>
      <c r="E380" s="4">
        <v>29190</v>
      </c>
      <c r="F380" s="4">
        <v>40513</v>
      </c>
      <c r="G380" t="s">
        <v>16</v>
      </c>
      <c r="H380">
        <v>1800</v>
      </c>
      <c r="I380">
        <v>1589</v>
      </c>
      <c r="J380">
        <f t="shared" si="5"/>
        <v>3389</v>
      </c>
    </row>
    <row r="381" ht="14.5" spans="1:10">
      <c r="A381">
        <v>380</v>
      </c>
      <c r="B381" s="3" t="s">
        <v>1553</v>
      </c>
      <c r="C381" t="s">
        <v>1554</v>
      </c>
      <c r="D381" t="s">
        <v>1555</v>
      </c>
      <c r="E381" t="s">
        <v>1556</v>
      </c>
      <c r="F381" t="s">
        <v>1557</v>
      </c>
      <c r="G381" t="s">
        <v>16</v>
      </c>
      <c r="H381">
        <v>2007</v>
      </c>
      <c r="I381">
        <v>1589</v>
      </c>
      <c r="J381">
        <f t="shared" si="5"/>
        <v>3596</v>
      </c>
    </row>
    <row r="382" ht="14.5" spans="1:10">
      <c r="A382">
        <v>381</v>
      </c>
      <c r="B382" s="3" t="s">
        <v>1558</v>
      </c>
      <c r="C382" t="s">
        <v>1559</v>
      </c>
      <c r="D382" t="s">
        <v>1560</v>
      </c>
      <c r="E382" t="s">
        <v>1561</v>
      </c>
      <c r="F382" t="s">
        <v>1562</v>
      </c>
      <c r="G382" t="s">
        <v>16</v>
      </c>
      <c r="H382">
        <v>1878</v>
      </c>
      <c r="I382">
        <v>1589</v>
      </c>
      <c r="J382">
        <f t="shared" si="5"/>
        <v>3467</v>
      </c>
    </row>
    <row r="383" ht="14.5" spans="1:10">
      <c r="A383">
        <v>382</v>
      </c>
      <c r="B383" s="3" t="s">
        <v>1563</v>
      </c>
      <c r="C383" t="s">
        <v>1564</v>
      </c>
      <c r="D383" t="s">
        <v>1565</v>
      </c>
      <c r="E383" s="4">
        <v>26330</v>
      </c>
      <c r="F383" s="4">
        <v>36373</v>
      </c>
      <c r="G383" t="s">
        <v>16</v>
      </c>
      <c r="H383">
        <v>1425.5</v>
      </c>
      <c r="I383">
        <v>1589</v>
      </c>
      <c r="J383">
        <f t="shared" si="5"/>
        <v>3014.5</v>
      </c>
    </row>
    <row r="384" ht="14.5" spans="1:10">
      <c r="A384">
        <v>383</v>
      </c>
      <c r="B384" s="3" t="s">
        <v>1566</v>
      </c>
      <c r="C384" t="s">
        <v>1567</v>
      </c>
      <c r="D384" t="s">
        <v>1568</v>
      </c>
      <c r="E384" t="s">
        <v>1569</v>
      </c>
      <c r="F384" t="s">
        <v>1570</v>
      </c>
      <c r="G384" t="s">
        <v>16</v>
      </c>
      <c r="H384">
        <v>2132</v>
      </c>
      <c r="I384">
        <v>1589</v>
      </c>
      <c r="J384">
        <f t="shared" si="5"/>
        <v>3721</v>
      </c>
    </row>
    <row r="385" ht="14.5" spans="1:10">
      <c r="A385">
        <v>384</v>
      </c>
      <c r="B385" s="3" t="s">
        <v>1571</v>
      </c>
      <c r="C385" t="s">
        <v>1572</v>
      </c>
      <c r="D385" t="s">
        <v>1573</v>
      </c>
      <c r="E385" t="s">
        <v>1574</v>
      </c>
      <c r="F385" t="s">
        <v>1575</v>
      </c>
      <c r="G385" t="s">
        <v>16</v>
      </c>
      <c r="H385">
        <v>1596</v>
      </c>
      <c r="I385">
        <v>1589</v>
      </c>
      <c r="J385">
        <f t="shared" si="5"/>
        <v>3185</v>
      </c>
    </row>
    <row r="386" ht="14.5" spans="1:10">
      <c r="A386">
        <v>385</v>
      </c>
      <c r="B386" s="3" t="s">
        <v>1576</v>
      </c>
      <c r="C386" t="s">
        <v>1577</v>
      </c>
      <c r="D386" t="s">
        <v>96</v>
      </c>
      <c r="E386" t="s">
        <v>1578</v>
      </c>
      <c r="F386" t="s">
        <v>1579</v>
      </c>
      <c r="G386" t="s">
        <v>16</v>
      </c>
      <c r="H386">
        <v>1936</v>
      </c>
      <c r="I386">
        <v>1589</v>
      </c>
      <c r="J386">
        <f t="shared" si="5"/>
        <v>3525</v>
      </c>
    </row>
    <row r="387" ht="14.5" spans="1:10">
      <c r="A387">
        <v>386</v>
      </c>
      <c r="B387" s="3" t="s">
        <v>1580</v>
      </c>
      <c r="C387" t="s">
        <v>1581</v>
      </c>
      <c r="D387" t="s">
        <v>1582</v>
      </c>
      <c r="E387" t="s">
        <v>1583</v>
      </c>
      <c r="F387" t="s">
        <v>1584</v>
      </c>
      <c r="G387" t="s">
        <v>16</v>
      </c>
      <c r="H387">
        <v>1953</v>
      </c>
      <c r="I387">
        <v>1589</v>
      </c>
      <c r="J387">
        <f t="shared" ref="J387:J448" si="6">SUM(H387:I387)</f>
        <v>3542</v>
      </c>
    </row>
    <row r="388" ht="14.5" spans="1:10">
      <c r="A388">
        <v>387</v>
      </c>
      <c r="B388" s="3" t="s">
        <v>1585</v>
      </c>
      <c r="C388" t="s">
        <v>1586</v>
      </c>
      <c r="D388" t="s">
        <v>1587</v>
      </c>
      <c r="E388" t="s">
        <v>1588</v>
      </c>
      <c r="F388" s="4">
        <v>41061</v>
      </c>
      <c r="G388" t="s">
        <v>16</v>
      </c>
      <c r="H388">
        <v>2049</v>
      </c>
      <c r="I388">
        <v>1589</v>
      </c>
      <c r="J388">
        <f t="shared" si="6"/>
        <v>3638</v>
      </c>
    </row>
    <row r="389" ht="14.5" spans="1:10">
      <c r="A389">
        <v>388</v>
      </c>
      <c r="B389" s="3" t="s">
        <v>1589</v>
      </c>
      <c r="C389" t="s">
        <v>1590</v>
      </c>
      <c r="D389" t="s">
        <v>1591</v>
      </c>
      <c r="E389" t="s">
        <v>1592</v>
      </c>
      <c r="F389" t="s">
        <v>1593</v>
      </c>
      <c r="G389" t="s">
        <v>78</v>
      </c>
      <c r="H389">
        <v>1746.36</v>
      </c>
      <c r="I389">
        <v>2365.9</v>
      </c>
      <c r="J389">
        <f t="shared" si="6"/>
        <v>4112.26</v>
      </c>
    </row>
    <row r="390" ht="14.5" spans="1:10">
      <c r="A390">
        <v>389</v>
      </c>
      <c r="B390" s="3" t="s">
        <v>1594</v>
      </c>
      <c r="C390" t="s">
        <v>1595</v>
      </c>
      <c r="D390" t="s">
        <v>1596</v>
      </c>
      <c r="E390" t="s">
        <v>1597</v>
      </c>
      <c r="F390" t="s">
        <v>1598</v>
      </c>
      <c r="G390" t="s">
        <v>78</v>
      </c>
      <c r="H390">
        <v>1432.53</v>
      </c>
      <c r="I390">
        <v>1999.76</v>
      </c>
      <c r="J390">
        <f t="shared" si="6"/>
        <v>3432.29</v>
      </c>
    </row>
    <row r="391" ht="14.5" spans="1:10">
      <c r="A391">
        <v>390</v>
      </c>
      <c r="B391" s="3" t="s">
        <v>1599</v>
      </c>
      <c r="C391" t="s">
        <v>1600</v>
      </c>
      <c r="D391" t="s">
        <v>1601</v>
      </c>
      <c r="E391" t="s">
        <v>1011</v>
      </c>
      <c r="F391" t="s">
        <v>1602</v>
      </c>
      <c r="G391" t="s">
        <v>78</v>
      </c>
      <c r="H391">
        <v>1369.17</v>
      </c>
      <c r="I391">
        <v>1997.05</v>
      </c>
      <c r="J391">
        <f t="shared" si="6"/>
        <v>3366.22</v>
      </c>
    </row>
    <row r="392" ht="14.5" spans="1:10">
      <c r="A392">
        <v>391</v>
      </c>
      <c r="B392" s="3" t="s">
        <v>1603</v>
      </c>
      <c r="C392" t="s">
        <v>1604</v>
      </c>
      <c r="D392" t="s">
        <v>1605</v>
      </c>
      <c r="E392" t="s">
        <v>561</v>
      </c>
      <c r="F392" t="s">
        <v>1606</v>
      </c>
      <c r="H392">
        <v>1343.43</v>
      </c>
      <c r="I392">
        <v>1811.99</v>
      </c>
      <c r="J392">
        <f t="shared" si="6"/>
        <v>3155.42</v>
      </c>
    </row>
    <row r="393" ht="14.5" spans="1:10">
      <c r="A393">
        <v>392</v>
      </c>
      <c r="B393" s="3" t="s">
        <v>1607</v>
      </c>
      <c r="C393" t="s">
        <v>1608</v>
      </c>
      <c r="D393" t="s">
        <v>1609</v>
      </c>
      <c r="E393" t="s">
        <v>439</v>
      </c>
      <c r="F393" t="s">
        <v>1610</v>
      </c>
      <c r="G393" t="s">
        <v>78</v>
      </c>
      <c r="H393">
        <v>1432.53</v>
      </c>
      <c r="I393">
        <v>1999.76</v>
      </c>
      <c r="J393">
        <f t="shared" si="6"/>
        <v>3432.29</v>
      </c>
    </row>
    <row r="394" ht="14.5" spans="1:10">
      <c r="A394">
        <v>393</v>
      </c>
      <c r="B394" s="3" t="s">
        <v>1611</v>
      </c>
      <c r="C394" t="s">
        <v>1612</v>
      </c>
      <c r="D394" t="s">
        <v>1613</v>
      </c>
      <c r="E394" t="s">
        <v>115</v>
      </c>
      <c r="F394" t="s">
        <v>1614</v>
      </c>
      <c r="G394" t="s">
        <v>78</v>
      </c>
      <c r="H394">
        <v>1432.53</v>
      </c>
      <c r="I394">
        <v>1999.76</v>
      </c>
      <c r="J394">
        <f t="shared" si="6"/>
        <v>3432.29</v>
      </c>
    </row>
    <row r="395" ht="14.5" spans="1:10">
      <c r="A395">
        <v>394</v>
      </c>
      <c r="B395" s="3" t="s">
        <v>1615</v>
      </c>
      <c r="C395" t="s">
        <v>1616</v>
      </c>
      <c r="D395" t="s">
        <v>1613</v>
      </c>
      <c r="E395" t="s">
        <v>697</v>
      </c>
      <c r="F395" t="s">
        <v>1614</v>
      </c>
      <c r="G395" t="s">
        <v>78</v>
      </c>
      <c r="H395">
        <v>1369.17</v>
      </c>
      <c r="I395">
        <v>1997.05</v>
      </c>
      <c r="J395">
        <f t="shared" si="6"/>
        <v>3366.22</v>
      </c>
    </row>
    <row r="396" ht="14.5" spans="1:10">
      <c r="A396">
        <v>395</v>
      </c>
      <c r="B396" s="3" t="s">
        <v>1617</v>
      </c>
      <c r="C396" t="s">
        <v>1618</v>
      </c>
      <c r="D396" t="s">
        <v>1619</v>
      </c>
      <c r="E396" t="s">
        <v>1620</v>
      </c>
      <c r="F396" t="s">
        <v>1621</v>
      </c>
      <c r="G396" t="s">
        <v>78</v>
      </c>
      <c r="H396">
        <v>1309.77</v>
      </c>
      <c r="I396">
        <v>1994.51</v>
      </c>
      <c r="J396">
        <f t="shared" si="6"/>
        <v>3304.28</v>
      </c>
    </row>
    <row r="397" ht="14.5" spans="1:10">
      <c r="A397">
        <v>396</v>
      </c>
      <c r="B397" s="3" t="s">
        <v>1622</v>
      </c>
      <c r="C397" t="s">
        <v>1623</v>
      </c>
      <c r="D397" t="s">
        <v>1624</v>
      </c>
      <c r="E397" t="s">
        <v>115</v>
      </c>
      <c r="F397" t="s">
        <v>1625</v>
      </c>
      <c r="G397" t="s">
        <v>78</v>
      </c>
      <c r="H397">
        <v>1568.16</v>
      </c>
      <c r="I397">
        <v>2005.55</v>
      </c>
      <c r="J397">
        <f t="shared" si="6"/>
        <v>3573.71</v>
      </c>
    </row>
    <row r="398" ht="14.5" spans="1:10">
      <c r="A398">
        <v>397</v>
      </c>
      <c r="B398" s="3" t="s">
        <v>1626</v>
      </c>
      <c r="C398" t="s">
        <v>1627</v>
      </c>
      <c r="D398" t="s">
        <v>1628</v>
      </c>
      <c r="E398" t="s">
        <v>439</v>
      </c>
      <c r="F398" t="s">
        <v>1625</v>
      </c>
      <c r="G398" t="s">
        <v>16</v>
      </c>
      <c r="H398">
        <v>1464.21</v>
      </c>
      <c r="I398">
        <v>2011.11</v>
      </c>
      <c r="J398">
        <f t="shared" si="6"/>
        <v>3475.32</v>
      </c>
    </row>
    <row r="399" ht="14.5" spans="1:10">
      <c r="A399">
        <v>398</v>
      </c>
      <c r="B399" s="3" t="s">
        <v>1629</v>
      </c>
      <c r="C399" t="s">
        <v>1630</v>
      </c>
      <c r="D399" t="s">
        <v>1631</v>
      </c>
      <c r="E399" t="s">
        <v>1632</v>
      </c>
      <c r="F399" t="s">
        <v>1633</v>
      </c>
      <c r="G399" t="s">
        <v>78</v>
      </c>
      <c r="H399">
        <v>1369.17</v>
      </c>
      <c r="I399">
        <v>1997.05</v>
      </c>
      <c r="J399">
        <f t="shared" si="6"/>
        <v>3366.22</v>
      </c>
    </row>
    <row r="400" ht="14.5" spans="1:10">
      <c r="A400">
        <v>399</v>
      </c>
      <c r="B400" s="3" t="s">
        <v>1634</v>
      </c>
      <c r="C400" t="s">
        <v>1635</v>
      </c>
      <c r="D400" t="s">
        <v>1636</v>
      </c>
      <c r="E400" t="s">
        <v>42</v>
      </c>
      <c r="F400" t="s">
        <v>1637</v>
      </c>
      <c r="H400">
        <v>1339.47</v>
      </c>
      <c r="I400">
        <v>1995.78</v>
      </c>
      <c r="J400">
        <f t="shared" si="6"/>
        <v>3335.25</v>
      </c>
    </row>
    <row r="401" ht="14.5" spans="1:10">
      <c r="A401">
        <v>400</v>
      </c>
      <c r="B401" s="3" t="s">
        <v>1638</v>
      </c>
      <c r="C401" t="s">
        <v>1639</v>
      </c>
      <c r="D401" t="s">
        <v>1640</v>
      </c>
      <c r="E401" t="s">
        <v>439</v>
      </c>
      <c r="F401" t="s">
        <v>1641</v>
      </c>
      <c r="H401">
        <v>1464.21</v>
      </c>
      <c r="I401">
        <v>2001.11</v>
      </c>
      <c r="J401">
        <f t="shared" si="6"/>
        <v>3465.32</v>
      </c>
    </row>
    <row r="402" ht="14.5" spans="1:10">
      <c r="A402">
        <v>401</v>
      </c>
      <c r="B402" s="3" t="s">
        <v>1642</v>
      </c>
      <c r="C402" t="s">
        <v>1643</v>
      </c>
      <c r="D402" t="s">
        <v>1644</v>
      </c>
      <c r="E402" t="s">
        <v>1022</v>
      </c>
      <c r="F402" t="s">
        <v>1645</v>
      </c>
      <c r="H402">
        <v>1400.85</v>
      </c>
      <c r="I402">
        <v>1998.4</v>
      </c>
      <c r="J402">
        <f t="shared" si="6"/>
        <v>3399.25</v>
      </c>
    </row>
    <row r="403" ht="14.5" spans="1:10">
      <c r="A403">
        <v>402</v>
      </c>
      <c r="B403" s="3" t="s">
        <v>1646</v>
      </c>
      <c r="C403" t="s">
        <v>1647</v>
      </c>
      <c r="D403" t="s">
        <v>1648</v>
      </c>
      <c r="E403" t="s">
        <v>429</v>
      </c>
      <c r="F403" t="s">
        <v>21</v>
      </c>
      <c r="G403" t="s">
        <v>16</v>
      </c>
      <c r="H403">
        <v>1782.3</v>
      </c>
      <c r="I403">
        <v>1589</v>
      </c>
      <c r="J403">
        <f t="shared" si="6"/>
        <v>3371.3</v>
      </c>
    </row>
    <row r="404" ht="14.5" spans="1:10">
      <c r="A404">
        <v>403</v>
      </c>
      <c r="B404" s="3" t="s">
        <v>1649</v>
      </c>
      <c r="C404" t="s">
        <v>1650</v>
      </c>
      <c r="D404" t="s">
        <v>1651</v>
      </c>
      <c r="E404" t="s">
        <v>439</v>
      </c>
      <c r="F404" t="s">
        <v>1652</v>
      </c>
      <c r="G404" t="s">
        <v>78</v>
      </c>
      <c r="H404">
        <v>1432.53</v>
      </c>
      <c r="I404">
        <v>1999.76</v>
      </c>
      <c r="J404">
        <f t="shared" si="6"/>
        <v>3432.29</v>
      </c>
    </row>
    <row r="405" ht="14.5" spans="1:10">
      <c r="A405">
        <v>404</v>
      </c>
      <c r="B405" s="3" t="s">
        <v>1653</v>
      </c>
      <c r="C405" t="s">
        <v>1654</v>
      </c>
      <c r="D405" t="s">
        <v>1655</v>
      </c>
      <c r="E405" t="s">
        <v>697</v>
      </c>
      <c r="F405" t="s">
        <v>1656</v>
      </c>
      <c r="H405">
        <v>1369.17</v>
      </c>
      <c r="I405">
        <v>1997.05</v>
      </c>
      <c r="J405">
        <f t="shared" si="6"/>
        <v>3366.22</v>
      </c>
    </row>
    <row r="406" ht="14.5" spans="1:10">
      <c r="A406">
        <v>405</v>
      </c>
      <c r="B406" s="3" t="s">
        <v>1657</v>
      </c>
      <c r="C406" t="s">
        <v>1658</v>
      </c>
      <c r="D406" t="s">
        <v>1659</v>
      </c>
      <c r="E406" t="s">
        <v>1660</v>
      </c>
      <c r="F406" t="s">
        <v>1661</v>
      </c>
      <c r="G406" t="s">
        <v>78</v>
      </c>
      <c r="H406">
        <v>1369.17</v>
      </c>
      <c r="I406">
        <v>1997.05</v>
      </c>
      <c r="J406">
        <f t="shared" si="6"/>
        <v>3366.22</v>
      </c>
    </row>
    <row r="407" ht="14.5" spans="1:10">
      <c r="A407">
        <v>406</v>
      </c>
      <c r="B407" s="3" t="s">
        <v>1662</v>
      </c>
      <c r="C407" t="s">
        <v>1663</v>
      </c>
      <c r="D407" t="s">
        <v>1664</v>
      </c>
      <c r="E407" t="s">
        <v>234</v>
      </c>
      <c r="F407" t="s">
        <v>1665</v>
      </c>
      <c r="G407" t="s">
        <v>78</v>
      </c>
      <c r="H407">
        <v>1464.21</v>
      </c>
      <c r="I407">
        <v>2001.11</v>
      </c>
      <c r="J407">
        <f t="shared" si="6"/>
        <v>3465.32</v>
      </c>
    </row>
    <row r="408" ht="14.5" spans="1:10">
      <c r="A408">
        <v>407</v>
      </c>
      <c r="B408" s="3" t="s">
        <v>1666</v>
      </c>
      <c r="C408" t="s">
        <v>1667</v>
      </c>
      <c r="D408" t="s">
        <v>1668</v>
      </c>
      <c r="E408" t="s">
        <v>697</v>
      </c>
      <c r="F408" t="s">
        <v>1669</v>
      </c>
      <c r="G408" t="s">
        <v>78</v>
      </c>
      <c r="H408">
        <v>1680.03</v>
      </c>
      <c r="I408">
        <v>2363.07</v>
      </c>
      <c r="J408">
        <f t="shared" si="6"/>
        <v>4043.1</v>
      </c>
    </row>
    <row r="409" ht="14.5" spans="1:10">
      <c r="A409">
        <v>408</v>
      </c>
      <c r="B409" s="3" t="s">
        <v>1670</v>
      </c>
      <c r="C409" t="s">
        <v>1671</v>
      </c>
      <c r="D409" t="s">
        <v>629</v>
      </c>
      <c r="E409" t="s">
        <v>1672</v>
      </c>
      <c r="F409" t="s">
        <v>1673</v>
      </c>
      <c r="G409" t="s">
        <v>78</v>
      </c>
      <c r="H409">
        <v>1195.48</v>
      </c>
      <c r="I409">
        <v>1990.79</v>
      </c>
      <c r="J409">
        <f t="shared" si="6"/>
        <v>3186.27</v>
      </c>
    </row>
    <row r="410" ht="14.5" spans="1:10">
      <c r="A410">
        <v>409</v>
      </c>
      <c r="B410" s="3" t="s">
        <v>1674</v>
      </c>
      <c r="C410" t="s">
        <v>1675</v>
      </c>
      <c r="D410" t="s">
        <v>1676</v>
      </c>
      <c r="E410" t="s">
        <v>1592</v>
      </c>
      <c r="F410" t="s">
        <v>1677</v>
      </c>
      <c r="G410" t="s">
        <v>78</v>
      </c>
      <c r="H410">
        <v>1432.53</v>
      </c>
      <c r="I410">
        <v>1999.76</v>
      </c>
      <c r="J410">
        <f t="shared" si="6"/>
        <v>3432.29</v>
      </c>
    </row>
    <row r="411" ht="14.5" spans="1:10">
      <c r="A411">
        <v>410</v>
      </c>
      <c r="B411" s="3" t="s">
        <v>1678</v>
      </c>
      <c r="C411" t="s">
        <v>1679</v>
      </c>
      <c r="D411" t="s">
        <v>629</v>
      </c>
      <c r="E411" t="s">
        <v>1672</v>
      </c>
      <c r="F411" t="s">
        <v>1680</v>
      </c>
      <c r="G411" t="s">
        <v>78</v>
      </c>
      <c r="H411">
        <v>1251.62</v>
      </c>
      <c r="I411">
        <v>1993.24</v>
      </c>
      <c r="J411">
        <f t="shared" si="6"/>
        <v>3244.86</v>
      </c>
    </row>
    <row r="412" ht="14.5" spans="1:10">
      <c r="A412">
        <v>411</v>
      </c>
      <c r="B412" s="3" t="s">
        <v>1681</v>
      </c>
      <c r="C412" t="s">
        <v>1682</v>
      </c>
      <c r="D412" t="s">
        <v>1683</v>
      </c>
      <c r="E412" t="s">
        <v>439</v>
      </c>
      <c r="F412" t="s">
        <v>1684</v>
      </c>
      <c r="G412" t="s">
        <v>78</v>
      </c>
      <c r="H412">
        <v>1432.53</v>
      </c>
      <c r="I412">
        <v>1999.76</v>
      </c>
      <c r="J412">
        <f t="shared" si="6"/>
        <v>3432.29</v>
      </c>
    </row>
    <row r="413" ht="14.5" spans="1:10">
      <c r="A413">
        <v>412</v>
      </c>
      <c r="B413" s="3" t="s">
        <v>1685</v>
      </c>
      <c r="C413" t="s">
        <v>1686</v>
      </c>
      <c r="D413" t="s">
        <v>262</v>
      </c>
      <c r="E413" t="s">
        <v>1687</v>
      </c>
      <c r="F413" t="s">
        <v>1688</v>
      </c>
      <c r="G413" t="s">
        <v>78</v>
      </c>
      <c r="H413">
        <v>1339.47</v>
      </c>
      <c r="I413">
        <v>1995.78</v>
      </c>
      <c r="J413">
        <f t="shared" si="6"/>
        <v>3335.25</v>
      </c>
    </row>
    <row r="414" ht="14.5" spans="1:10">
      <c r="A414">
        <v>413</v>
      </c>
      <c r="B414" s="3" t="s">
        <v>1689</v>
      </c>
      <c r="C414" t="s">
        <v>1690</v>
      </c>
      <c r="D414" t="s">
        <v>1691</v>
      </c>
      <c r="E414" t="s">
        <v>115</v>
      </c>
      <c r="F414" t="s">
        <v>1692</v>
      </c>
      <c r="G414" t="s">
        <v>78</v>
      </c>
      <c r="H414">
        <v>1498.86</v>
      </c>
      <c r="I414">
        <v>2002.59</v>
      </c>
      <c r="J414">
        <f t="shared" si="6"/>
        <v>3501.45</v>
      </c>
    </row>
    <row r="415" ht="14.5" spans="1:10">
      <c r="A415">
        <v>414</v>
      </c>
      <c r="B415" s="3" t="s">
        <v>1693</v>
      </c>
      <c r="C415" t="s">
        <v>1694</v>
      </c>
      <c r="D415" t="s">
        <v>927</v>
      </c>
      <c r="E415" t="s">
        <v>234</v>
      </c>
      <c r="F415" t="s">
        <v>1695</v>
      </c>
      <c r="G415" t="s">
        <v>16</v>
      </c>
      <c r="H415">
        <v>1432.53</v>
      </c>
      <c r="I415">
        <v>1999.76</v>
      </c>
      <c r="J415">
        <f t="shared" si="6"/>
        <v>3432.29</v>
      </c>
    </row>
    <row r="416" ht="14.5" spans="1:10">
      <c r="A416">
        <v>415</v>
      </c>
      <c r="B416" s="3" t="s">
        <v>1696</v>
      </c>
      <c r="C416" t="s">
        <v>1697</v>
      </c>
      <c r="D416" t="s">
        <v>1698</v>
      </c>
      <c r="E416" t="s">
        <v>234</v>
      </c>
      <c r="F416" t="s">
        <v>1688</v>
      </c>
      <c r="G416" t="s">
        <v>216</v>
      </c>
      <c r="H416">
        <v>1746.36</v>
      </c>
      <c r="I416">
        <v>2365.9</v>
      </c>
      <c r="J416">
        <f t="shared" si="6"/>
        <v>4112.26</v>
      </c>
    </row>
    <row r="417" ht="14.5" spans="1:10">
      <c r="A417">
        <v>416</v>
      </c>
      <c r="B417" s="3" t="s">
        <v>1699</v>
      </c>
      <c r="C417" t="s">
        <v>1700</v>
      </c>
      <c r="D417" t="s">
        <v>1701</v>
      </c>
      <c r="E417" t="s">
        <v>1702</v>
      </c>
      <c r="F417" t="s">
        <v>1703</v>
      </c>
      <c r="G417" t="s">
        <v>216</v>
      </c>
      <c r="H417">
        <v>1295.22</v>
      </c>
      <c r="I417">
        <v>1994.51</v>
      </c>
      <c r="J417">
        <f t="shared" si="6"/>
        <v>3289.73</v>
      </c>
    </row>
    <row r="418" ht="14.5" spans="1:10">
      <c r="A418">
        <v>417</v>
      </c>
      <c r="B418" s="3" t="s">
        <v>1704</v>
      </c>
      <c r="C418" t="s">
        <v>1705</v>
      </c>
      <c r="D418" t="s">
        <v>1706</v>
      </c>
      <c r="E418" t="s">
        <v>1707</v>
      </c>
      <c r="F418" t="s">
        <v>1708</v>
      </c>
      <c r="G418" t="s">
        <v>216</v>
      </c>
      <c r="H418">
        <v>1400.85</v>
      </c>
      <c r="I418">
        <v>1998.4</v>
      </c>
      <c r="J418">
        <f t="shared" si="6"/>
        <v>3399.25</v>
      </c>
    </row>
    <row r="419" ht="14.5" spans="1:10">
      <c r="A419">
        <v>418</v>
      </c>
      <c r="B419" s="3" t="s">
        <v>1709</v>
      </c>
      <c r="C419" t="s">
        <v>1710</v>
      </c>
      <c r="D419" t="s">
        <v>1711</v>
      </c>
      <c r="E419" t="s">
        <v>1712</v>
      </c>
      <c r="F419" t="s">
        <v>1713</v>
      </c>
      <c r="G419" t="s">
        <v>216</v>
      </c>
      <c r="H419">
        <v>1194.97</v>
      </c>
      <c r="I419">
        <v>1991.97</v>
      </c>
      <c r="J419">
        <f t="shared" si="6"/>
        <v>3186.94</v>
      </c>
    </row>
    <row r="420" ht="14.5" spans="1:10">
      <c r="A420">
        <v>419</v>
      </c>
      <c r="B420" s="3" t="s">
        <v>1714</v>
      </c>
      <c r="C420" t="s">
        <v>1715</v>
      </c>
      <c r="D420" t="s">
        <v>1716</v>
      </c>
      <c r="E420" t="s">
        <v>1592</v>
      </c>
      <c r="F420" t="s">
        <v>1717</v>
      </c>
      <c r="G420" t="s">
        <v>78</v>
      </c>
      <c r="H420">
        <v>1498.86</v>
      </c>
      <c r="I420">
        <v>2002.59</v>
      </c>
      <c r="J420">
        <f t="shared" si="6"/>
        <v>3501.45</v>
      </c>
    </row>
    <row r="421" ht="14.5" spans="1:10">
      <c r="A421">
        <v>420</v>
      </c>
      <c r="B421" s="3" t="s">
        <v>1718</v>
      </c>
      <c r="C421" t="s">
        <v>1719</v>
      </c>
      <c r="D421" t="s">
        <v>1720</v>
      </c>
      <c r="E421" t="s">
        <v>1597</v>
      </c>
      <c r="F421" t="s">
        <v>1721</v>
      </c>
      <c r="G421" t="s">
        <v>78</v>
      </c>
      <c r="H421">
        <v>1400.85</v>
      </c>
      <c r="I421">
        <v>1998.4</v>
      </c>
      <c r="J421">
        <f>SUM(H421:I421)</f>
        <v>3399.25</v>
      </c>
    </row>
    <row r="422" ht="14.5" spans="1:10">
      <c r="A422">
        <v>421</v>
      </c>
      <c r="B422" s="3" t="s">
        <v>1722</v>
      </c>
      <c r="C422" t="s">
        <v>1723</v>
      </c>
      <c r="D422" t="s">
        <v>1724</v>
      </c>
      <c r="E422" t="s">
        <v>1725</v>
      </c>
      <c r="F422" t="s">
        <v>1726</v>
      </c>
      <c r="G422" t="s">
        <v>78</v>
      </c>
      <c r="H422">
        <v>1280.07</v>
      </c>
      <c r="I422">
        <v>1993.24</v>
      </c>
      <c r="J422">
        <f>SUM(H422:I422)</f>
        <v>3273.31</v>
      </c>
    </row>
    <row r="423" ht="14.5" spans="1:10">
      <c r="A423">
        <v>422</v>
      </c>
      <c r="B423" s="3" t="s">
        <v>1727</v>
      </c>
      <c r="C423" t="s">
        <v>1728</v>
      </c>
      <c r="D423" t="s">
        <v>1729</v>
      </c>
      <c r="E423" t="s">
        <v>1022</v>
      </c>
      <c r="F423" t="s">
        <v>1730</v>
      </c>
      <c r="G423" t="s">
        <v>216</v>
      </c>
      <c r="H423">
        <v>1339.47</v>
      </c>
      <c r="I423">
        <v>1995.78</v>
      </c>
      <c r="J423">
        <f t="shared" si="6"/>
        <v>3335.25</v>
      </c>
    </row>
    <row r="424" ht="14.5" spans="1:10">
      <c r="A424">
        <v>423</v>
      </c>
      <c r="B424" s="3" t="s">
        <v>1731</v>
      </c>
      <c r="C424" t="s">
        <v>1732</v>
      </c>
      <c r="D424" t="s">
        <v>1733</v>
      </c>
      <c r="E424" t="s">
        <v>1734</v>
      </c>
      <c r="F424" t="s">
        <v>1735</v>
      </c>
      <c r="G424" t="s">
        <v>78</v>
      </c>
      <c r="H424">
        <v>1369.17</v>
      </c>
      <c r="I424">
        <v>1997.05</v>
      </c>
      <c r="J424">
        <f t="shared" si="6"/>
        <v>3366.22</v>
      </c>
    </row>
    <row r="425" ht="14.5" spans="1:10">
      <c r="A425">
        <v>424</v>
      </c>
      <c r="B425" s="3" t="s">
        <v>1736</v>
      </c>
      <c r="C425" t="s">
        <v>1737</v>
      </c>
      <c r="D425" t="s">
        <v>1738</v>
      </c>
      <c r="E425" t="s">
        <v>1702</v>
      </c>
      <c r="F425" t="s">
        <v>1739</v>
      </c>
      <c r="G425" t="s">
        <v>78</v>
      </c>
      <c r="H425">
        <v>1324.59</v>
      </c>
      <c r="I425">
        <v>1995.78</v>
      </c>
      <c r="J425">
        <f t="shared" si="6"/>
        <v>3320.37</v>
      </c>
    </row>
    <row r="426" ht="14.5" spans="1:10">
      <c r="A426">
        <v>425</v>
      </c>
      <c r="B426" s="3" t="s">
        <v>1740</v>
      </c>
      <c r="C426" t="s">
        <v>1741</v>
      </c>
      <c r="D426" t="s">
        <v>1742</v>
      </c>
      <c r="E426" t="s">
        <v>1011</v>
      </c>
      <c r="F426" t="s">
        <v>1743</v>
      </c>
      <c r="G426" t="s">
        <v>78</v>
      </c>
      <c r="H426">
        <v>1400.85</v>
      </c>
      <c r="I426">
        <v>1998.4</v>
      </c>
      <c r="J426">
        <f t="shared" si="6"/>
        <v>3399.25</v>
      </c>
    </row>
    <row r="427" ht="14.5" spans="1:10">
      <c r="A427">
        <v>426</v>
      </c>
      <c r="B427" s="3" t="s">
        <v>1744</v>
      </c>
      <c r="C427" t="s">
        <v>1745</v>
      </c>
      <c r="D427" t="s">
        <v>1746</v>
      </c>
      <c r="E427" t="s">
        <v>331</v>
      </c>
      <c r="F427" t="s">
        <v>1743</v>
      </c>
      <c r="G427" t="s">
        <v>16</v>
      </c>
      <c r="H427">
        <v>1309.77</v>
      </c>
      <c r="I427">
        <v>1994.51</v>
      </c>
      <c r="J427">
        <f t="shared" si="6"/>
        <v>3304.28</v>
      </c>
    </row>
    <row r="428" ht="14.5" spans="1:10">
      <c r="A428">
        <v>427</v>
      </c>
      <c r="B428" s="3" t="s">
        <v>1747</v>
      </c>
      <c r="C428" t="s">
        <v>1748</v>
      </c>
      <c r="D428" t="s">
        <v>1749</v>
      </c>
      <c r="E428" t="s">
        <v>1750</v>
      </c>
      <c r="F428" t="s">
        <v>1743</v>
      </c>
      <c r="G428" t="s">
        <v>216</v>
      </c>
      <c r="H428">
        <v>1265.85</v>
      </c>
      <c r="I428">
        <v>1993.24</v>
      </c>
      <c r="J428">
        <f t="shared" si="6"/>
        <v>3259.09</v>
      </c>
    </row>
    <row r="429" ht="14.5" spans="1:10">
      <c r="A429">
        <v>428</v>
      </c>
      <c r="B429" s="3" t="s">
        <v>1751</v>
      </c>
      <c r="C429" t="s">
        <v>1752</v>
      </c>
      <c r="D429" t="s">
        <v>1753</v>
      </c>
      <c r="E429" t="s">
        <v>1754</v>
      </c>
      <c r="F429" t="s">
        <v>1755</v>
      </c>
      <c r="G429" t="s">
        <v>216</v>
      </c>
      <c r="H429">
        <v>1339.47</v>
      </c>
      <c r="I429">
        <v>1995.78</v>
      </c>
      <c r="J429">
        <f t="shared" si="6"/>
        <v>3335.25</v>
      </c>
    </row>
    <row r="430" ht="14.5" spans="1:10">
      <c r="A430">
        <v>429</v>
      </c>
      <c r="B430" s="3" t="s">
        <v>1756</v>
      </c>
      <c r="C430" t="s">
        <v>1757</v>
      </c>
      <c r="D430" t="s">
        <v>1758</v>
      </c>
      <c r="E430" t="s">
        <v>1759</v>
      </c>
      <c r="F430" t="s">
        <v>1760</v>
      </c>
      <c r="G430" t="s">
        <v>216</v>
      </c>
      <c r="H430">
        <v>1181.9</v>
      </c>
      <c r="I430">
        <v>1990.79</v>
      </c>
      <c r="J430">
        <f t="shared" si="6"/>
        <v>3172.69</v>
      </c>
    </row>
    <row r="431" ht="14.5" spans="1:10">
      <c r="A431">
        <v>430</v>
      </c>
      <c r="B431" s="3" t="s">
        <v>1761</v>
      </c>
      <c r="C431" t="s">
        <v>1762</v>
      </c>
      <c r="D431" t="s">
        <v>1763</v>
      </c>
      <c r="E431" t="s">
        <v>1725</v>
      </c>
      <c r="F431" t="s">
        <v>1764</v>
      </c>
      <c r="G431" t="s">
        <v>1765</v>
      </c>
      <c r="H431">
        <v>963</v>
      </c>
      <c r="I431">
        <v>1757.5</v>
      </c>
      <c r="J431">
        <f t="shared" si="6"/>
        <v>2720.5</v>
      </c>
    </row>
    <row r="432" ht="14.5" spans="1:10">
      <c r="A432">
        <v>431</v>
      </c>
      <c r="B432" s="3" t="s">
        <v>1766</v>
      </c>
      <c r="C432" t="s">
        <v>1767</v>
      </c>
      <c r="D432" t="s">
        <v>1768</v>
      </c>
      <c r="E432" t="s">
        <v>1769</v>
      </c>
      <c r="F432" t="s">
        <v>1770</v>
      </c>
      <c r="G432" t="s">
        <v>78</v>
      </c>
      <c r="H432">
        <v>1222.58</v>
      </c>
      <c r="I432">
        <v>1991.97</v>
      </c>
      <c r="J432">
        <f t="shared" si="6"/>
        <v>3214.55</v>
      </c>
    </row>
    <row r="433" ht="14.5" spans="1:10">
      <c r="A433">
        <v>432</v>
      </c>
      <c r="B433" s="3" t="s">
        <v>1771</v>
      </c>
      <c r="C433" t="s">
        <v>1772</v>
      </c>
      <c r="D433" t="s">
        <v>1636</v>
      </c>
      <c r="E433" t="s">
        <v>42</v>
      </c>
      <c r="F433" t="s">
        <v>1770</v>
      </c>
      <c r="G433" t="s">
        <v>78</v>
      </c>
      <c r="H433">
        <v>1339.47</v>
      </c>
      <c r="I433">
        <v>1995.78</v>
      </c>
      <c r="J433">
        <f t="shared" si="6"/>
        <v>3335.25</v>
      </c>
    </row>
    <row r="434" ht="14.5" spans="1:10">
      <c r="A434">
        <v>433</v>
      </c>
      <c r="B434" s="3" t="s">
        <v>1773</v>
      </c>
      <c r="C434" t="s">
        <v>1774</v>
      </c>
      <c r="D434" t="s">
        <v>1775</v>
      </c>
      <c r="E434" t="s">
        <v>1332</v>
      </c>
      <c r="F434" t="s">
        <v>1770</v>
      </c>
      <c r="G434" t="s">
        <v>78</v>
      </c>
      <c r="H434">
        <v>1309.77</v>
      </c>
      <c r="I434">
        <v>1994.51</v>
      </c>
      <c r="J434">
        <f t="shared" si="6"/>
        <v>3304.28</v>
      </c>
    </row>
    <row r="435" ht="14.5" spans="1:10">
      <c r="A435">
        <v>434</v>
      </c>
      <c r="B435" s="3" t="s">
        <v>1776</v>
      </c>
      <c r="C435" t="s">
        <v>1777</v>
      </c>
      <c r="D435" t="s">
        <v>1778</v>
      </c>
      <c r="E435" t="s">
        <v>1332</v>
      </c>
      <c r="F435" t="s">
        <v>1779</v>
      </c>
      <c r="G435" t="s">
        <v>78</v>
      </c>
      <c r="H435">
        <v>1369.17</v>
      </c>
      <c r="I435">
        <v>1997.05</v>
      </c>
      <c r="J435">
        <f t="shared" si="6"/>
        <v>3366.22</v>
      </c>
    </row>
    <row r="436" ht="14.5" spans="1:10">
      <c r="A436">
        <v>435</v>
      </c>
      <c r="B436" s="3" t="s">
        <v>1780</v>
      </c>
      <c r="C436" t="s">
        <v>1781</v>
      </c>
      <c r="D436" t="s">
        <v>1782</v>
      </c>
      <c r="E436" t="s">
        <v>1783</v>
      </c>
      <c r="F436" t="s">
        <v>1784</v>
      </c>
      <c r="G436" t="s">
        <v>78</v>
      </c>
      <c r="H436">
        <v>1265.85</v>
      </c>
      <c r="I436">
        <v>1993.24</v>
      </c>
      <c r="J436">
        <f t="shared" si="6"/>
        <v>3259.09</v>
      </c>
    </row>
    <row r="437" ht="14.5" spans="1:10">
      <c r="A437">
        <v>436</v>
      </c>
      <c r="B437" s="3" t="s">
        <v>1785</v>
      </c>
      <c r="C437" t="s">
        <v>1786</v>
      </c>
      <c r="D437" t="s">
        <v>1787</v>
      </c>
      <c r="E437" t="s">
        <v>1022</v>
      </c>
      <c r="F437" t="s">
        <v>1788</v>
      </c>
      <c r="G437" t="s">
        <v>78</v>
      </c>
      <c r="H437">
        <v>1339.47</v>
      </c>
      <c r="I437">
        <v>1995.78</v>
      </c>
      <c r="J437">
        <f t="shared" si="6"/>
        <v>3335.25</v>
      </c>
    </row>
    <row r="438" ht="14.5" spans="1:10">
      <c r="A438">
        <v>437</v>
      </c>
      <c r="B438" s="3" t="s">
        <v>1789</v>
      </c>
      <c r="C438" t="s">
        <v>1790</v>
      </c>
      <c r="D438" t="s">
        <v>1791</v>
      </c>
      <c r="E438" t="s">
        <v>331</v>
      </c>
      <c r="F438" t="s">
        <v>1792</v>
      </c>
      <c r="G438" t="s">
        <v>78</v>
      </c>
      <c r="H438">
        <v>1464.21</v>
      </c>
      <c r="I438">
        <v>2001.11</v>
      </c>
      <c r="J438">
        <f t="shared" si="6"/>
        <v>3465.32</v>
      </c>
    </row>
    <row r="439" ht="14.5" spans="1:10">
      <c r="A439">
        <v>438</v>
      </c>
      <c r="B439" s="3" t="s">
        <v>1793</v>
      </c>
      <c r="C439" t="s">
        <v>1794</v>
      </c>
      <c r="D439" t="s">
        <v>1795</v>
      </c>
      <c r="E439" t="s">
        <v>1022</v>
      </c>
      <c r="F439" t="s">
        <v>1796</v>
      </c>
      <c r="G439" t="s">
        <v>78</v>
      </c>
      <c r="H439">
        <v>1369.17</v>
      </c>
      <c r="I439">
        <v>1997.05</v>
      </c>
      <c r="J439">
        <f t="shared" si="6"/>
        <v>3366.22</v>
      </c>
    </row>
    <row r="440" ht="14.5" spans="1:10">
      <c r="A440">
        <v>439</v>
      </c>
      <c r="B440" s="3" t="s">
        <v>1797</v>
      </c>
      <c r="C440" t="s">
        <v>1798</v>
      </c>
      <c r="D440" t="s">
        <v>1799</v>
      </c>
      <c r="E440" t="s">
        <v>697</v>
      </c>
      <c r="F440" t="s">
        <v>1800</v>
      </c>
      <c r="G440" t="s">
        <v>1801</v>
      </c>
      <c r="H440">
        <v>1400.85</v>
      </c>
      <c r="I440">
        <v>1998.4</v>
      </c>
      <c r="J440">
        <f t="shared" si="6"/>
        <v>3399.25</v>
      </c>
    </row>
    <row r="441" ht="14.5" spans="1:10">
      <c r="A441">
        <v>440</v>
      </c>
      <c r="B441" s="3" t="s">
        <v>1802</v>
      </c>
      <c r="C441" t="s">
        <v>1803</v>
      </c>
      <c r="D441" t="s">
        <v>1804</v>
      </c>
      <c r="E441" t="s">
        <v>1805</v>
      </c>
      <c r="F441" t="s">
        <v>1806</v>
      </c>
      <c r="G441" t="s">
        <v>78</v>
      </c>
      <c r="H441">
        <v>1369.17</v>
      </c>
      <c r="I441">
        <v>1997.05</v>
      </c>
      <c r="J441">
        <f t="shared" si="6"/>
        <v>3366.22</v>
      </c>
    </row>
    <row r="442" ht="14.5" spans="1:10">
      <c r="A442">
        <v>441</v>
      </c>
      <c r="B442" s="3" t="s">
        <v>1807</v>
      </c>
      <c r="C442" t="s">
        <v>1808</v>
      </c>
      <c r="D442" t="s">
        <v>1809</v>
      </c>
      <c r="E442" t="s">
        <v>697</v>
      </c>
      <c r="F442" t="s">
        <v>1810</v>
      </c>
      <c r="G442" t="s">
        <v>78</v>
      </c>
      <c r="H442">
        <v>1432.53</v>
      </c>
      <c r="I442">
        <v>1999.76</v>
      </c>
      <c r="J442">
        <f t="shared" si="6"/>
        <v>3432.29</v>
      </c>
    </row>
    <row r="443" ht="14.5" spans="1:10">
      <c r="A443">
        <v>442</v>
      </c>
      <c r="B443" s="3" t="s">
        <v>1811</v>
      </c>
      <c r="C443" t="s">
        <v>1812</v>
      </c>
      <c r="D443" t="s">
        <v>1813</v>
      </c>
      <c r="E443" t="s">
        <v>697</v>
      </c>
      <c r="F443" t="s">
        <v>1810</v>
      </c>
      <c r="G443" t="s">
        <v>78</v>
      </c>
      <c r="H443">
        <v>1400.85</v>
      </c>
      <c r="I443">
        <v>1998.4</v>
      </c>
      <c r="J443">
        <f t="shared" si="6"/>
        <v>3399.25</v>
      </c>
    </row>
    <row r="444" ht="14.5" spans="1:10">
      <c r="A444">
        <v>443</v>
      </c>
      <c r="B444" s="3" t="s">
        <v>1814</v>
      </c>
      <c r="C444" t="s">
        <v>1815</v>
      </c>
      <c r="D444" t="s">
        <v>1816</v>
      </c>
      <c r="E444" t="s">
        <v>1769</v>
      </c>
      <c r="F444" t="s">
        <v>1817</v>
      </c>
      <c r="G444" t="s">
        <v>78</v>
      </c>
      <c r="H444">
        <v>1265.85</v>
      </c>
      <c r="I444">
        <v>1993.24</v>
      </c>
      <c r="J444">
        <f t="shared" si="6"/>
        <v>3259.09</v>
      </c>
    </row>
    <row r="445" ht="14.5" spans="1:10">
      <c r="A445">
        <v>444</v>
      </c>
      <c r="B445" s="3" t="s">
        <v>1818</v>
      </c>
      <c r="C445" t="s">
        <v>1819</v>
      </c>
      <c r="D445" t="s">
        <v>1820</v>
      </c>
      <c r="E445" t="s">
        <v>1660</v>
      </c>
      <c r="F445" t="s">
        <v>1821</v>
      </c>
      <c r="G445" t="s">
        <v>78</v>
      </c>
      <c r="H445">
        <v>1369.17</v>
      </c>
      <c r="I445">
        <v>1997.05</v>
      </c>
      <c r="J445">
        <f t="shared" si="6"/>
        <v>3366.22</v>
      </c>
    </row>
    <row r="446" ht="14.5" spans="1:10">
      <c r="A446">
        <v>445</v>
      </c>
      <c r="B446" s="3" t="s">
        <v>1822</v>
      </c>
      <c r="C446" t="s">
        <v>1823</v>
      </c>
      <c r="D446" t="s">
        <v>1824</v>
      </c>
      <c r="E446" t="s">
        <v>1825</v>
      </c>
      <c r="F446" t="s">
        <v>1826</v>
      </c>
      <c r="G446" t="s">
        <v>78</v>
      </c>
      <c r="H446">
        <v>1498.86</v>
      </c>
      <c r="I446">
        <v>2002.59</v>
      </c>
      <c r="J446">
        <f t="shared" si="6"/>
        <v>3501.45</v>
      </c>
    </row>
    <row r="447" ht="14.5" spans="1:10">
      <c r="A447">
        <v>446</v>
      </c>
      <c r="B447" s="3" t="s">
        <v>1827</v>
      </c>
      <c r="C447" t="s">
        <v>1828</v>
      </c>
      <c r="D447" t="s">
        <v>1829</v>
      </c>
      <c r="E447" t="s">
        <v>1830</v>
      </c>
      <c r="F447" t="s">
        <v>1831</v>
      </c>
      <c r="G447" t="s">
        <v>1832</v>
      </c>
      <c r="H447">
        <v>817.2</v>
      </c>
      <c r="I447">
        <v>1652.42</v>
      </c>
      <c r="J447">
        <f t="shared" si="6"/>
        <v>2469.62</v>
      </c>
    </row>
    <row r="448" ht="14.5" spans="1:10">
      <c r="A448">
        <v>447</v>
      </c>
      <c r="B448" s="3" t="s">
        <v>1833</v>
      </c>
      <c r="C448" t="s">
        <v>1834</v>
      </c>
      <c r="D448" t="s">
        <v>1835</v>
      </c>
      <c r="E448" t="s">
        <v>1022</v>
      </c>
      <c r="F448" t="s">
        <v>1836</v>
      </c>
      <c r="G448" t="s">
        <v>78</v>
      </c>
      <c r="H448">
        <v>1369.17</v>
      </c>
      <c r="I448">
        <v>1997.05</v>
      </c>
      <c r="J448">
        <f t="shared" si="6"/>
        <v>3366.22</v>
      </c>
    </row>
  </sheetData>
  <printOptions horizontalCentered="1"/>
  <pageMargins left="0.357638888888889" right="0.357638888888889" top="1" bottom="1" header="0.5" footer="0.5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zoomScale="160" zoomScaleNormal="160" workbookViewId="0">
      <selection activeCell="A14" sqref="$A14:$XFD14"/>
    </sheetView>
  </sheetViews>
  <sheetFormatPr defaultColWidth="8.72727272727273" defaultRowHeight="14" outlineLevelCol="4"/>
  <cols>
    <col min="1" max="1" width="10.5636363636364" customWidth="1"/>
    <col min="2" max="3" width="12.8181818181818"/>
    <col min="4" max="4" width="12.0909090909091" customWidth="1"/>
    <col min="5" max="5" width="9.72727272727273" customWidth="1"/>
  </cols>
  <sheetData>
    <row r="1" spans="1:5">
      <c r="A1">
        <v>1703.9</v>
      </c>
      <c r="B1" s="1">
        <f>ROUND(A1*A2,2)</f>
        <v>1533.51</v>
      </c>
      <c r="C1">
        <v>1287.83</v>
      </c>
    </row>
    <row r="2" spans="1:5">
      <c r="A2">
        <v>0.9</v>
      </c>
    </row>
    <row r="3" spans="1:5">
      <c r="A3" s="1">
        <v>1757.5</v>
      </c>
      <c r="B3" s="1">
        <f>B1+A3</f>
        <v>3291.01</v>
      </c>
    </row>
    <row r="4" spans="1:5">
      <c r="A4">
        <v>260</v>
      </c>
      <c r="B4">
        <f>B1+A3+A4</f>
        <v>3551.01</v>
      </c>
    </row>
    <row r="5" spans="1:5">
      <c r="A5">
        <v>1.2956</v>
      </c>
      <c r="B5">
        <f>ROUND(B4*A5,2)</f>
        <v>4600.69</v>
      </c>
      <c r="C5">
        <v>0.3</v>
      </c>
    </row>
    <row r="6" spans="1:5">
      <c r="A6">
        <v>0</v>
      </c>
    </row>
    <row r="7" spans="1:5">
      <c r="B7" s="1">
        <f>ROUND(B5+A6,2)</f>
        <v>4600.69</v>
      </c>
      <c r="C7">
        <f>C1-B7</f>
        <v>-3312.86</v>
      </c>
      <c r="D7">
        <f>ROUND(C7*C5,2)</f>
        <v>-993.86</v>
      </c>
      <c r="E7" s="1">
        <f>B7+D7</f>
        <v>3606.83</v>
      </c>
    </row>
    <row r="8" spans="1:5">
      <c r="B8">
        <v>920.13</v>
      </c>
    </row>
    <row r="9" spans="1:5">
      <c r="B9">
        <f>SUM(B7:B8)</f>
        <v>5520.82</v>
      </c>
      <c r="C9">
        <v>6799.91</v>
      </c>
      <c r="D9">
        <f>C9-B9</f>
        <v>1279.09</v>
      </c>
    </row>
    <row r="11" spans="1:5">
      <c r="B11">
        <f>2388.88*0.7</f>
        <v>1672.216</v>
      </c>
      <c r="C11">
        <f>5742.28/6799.91</f>
        <v>0.844464117907443</v>
      </c>
    </row>
    <row r="13" spans="1:5">
      <c r="A13">
        <v>1703.9</v>
      </c>
      <c r="B13">
        <v>0.9</v>
      </c>
      <c r="C13">
        <f>A13*B13</f>
        <v>1533.51</v>
      </c>
    </row>
    <row r="14" spans="1:5">
      <c r="A14">
        <v>1742.4</v>
      </c>
      <c r="B14">
        <v>0.9</v>
      </c>
      <c r="C14">
        <f>A14*B14</f>
        <v>1568.16</v>
      </c>
    </row>
    <row r="15" spans="1:5">
      <c r="A15">
        <v>1830.4</v>
      </c>
      <c r="B15">
        <v>0.9</v>
      </c>
      <c r="C15">
        <f>A15*B15</f>
        <v>1647.36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2026-05-12T03:29:00Z</dcterms:created>
  <dcterms:modified xsi:type="dcterms:W3CDTF">2026-05-20T02:41:53Z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95A39110CF494F03AABECB32695A7F85_11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