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<sst xmlns="http://schemas.openxmlformats.org/spreadsheetml/2006/main" count="27" uniqueCount="27">
  <si>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党组织名称</t>
  </si>
  <si>
    <t>党员总数</t>
  </si>
  <si>
    <t>正式党员</t>
  </si>
  <si>
    <t>预备党员</t>
  </si>
  <si>
    <t>入库党员</t>
  </si>
  <si>
    <t>未入库党员</t>
  </si>
  <si>
    <t>女党员</t>
  </si>
  <si>
    <t>少数民族党员</t>
  </si>
  <si>
    <t>大专及以上学历党员</t>
  </si>
  <si>
    <t>事业专技岗位</t>
  </si>
  <si>
    <t>管理岗位</t>
  </si>
  <si>
    <t>退休党员</t>
  </si>
  <si>
    <t>其他无业人员</t>
  </si>
  <si>
    <t>中国共产党枣阳市太平镇教育总支部委员会</t>
  </si>
  <si>
    <t>中共枣阳市太平镇草店小学支部委员会</t>
  </si>
  <si>
    <t>中共枣阳市太平镇光明小学支部</t>
  </si>
  <si>
    <t>中共枣阳市太平镇中心小学支部委员会</t>
  </si>
  <si>
    <t>中共枣阳市太平镇李岗小学支部委员会</t>
  </si>
  <si>
    <t>中共枣阳市太平镇第一初级中学支部委员会</t>
  </si>
  <si>
    <t>中共枣阳市太平镇中心学校机关支部委员会</t>
  </si>
  <si>
    <t>中共枣阳市太平镇双河小学支部委员会</t>
  </si>
  <si>
    <t>中共枣阳市太平镇第二初级中学支部委员会</t>
  </si>
  <si>
    <t>中共枣阳市太平镇第三初级中学支部委员会</t>
  </si>
  <si>
    <t>中共枣阳市太平镇第二小学支部委员会</t>
  </si>
  <si>
    <t>中共枣阳市太平镇寺庄小学支部委员会</t>
  </si>
  <si>
    <t>中共枣阳市太平镇湖河小学支部委员会</t>
  </si>
  <si>
    <t>中共枣阳市太平镇中心幼儿园支部委员会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</si>
</sst>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sz val="9.7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38215;&#25945;&#32946;&#20826;&#24635;&#25903;&#20826;&#21592;&#33457;&#21517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统计表"/>
      <sheetName val="未入库离退休党员"/>
    </sheetNames>
    <sheetDataSet>
      <sheetData sheetId="0">
        <row r="1">
          <cell r="C1" t="str">
            <v>性别</v>
          </cell>
        </row>
        <row r="1">
          <cell r="E1" t="str">
            <v>民族</v>
          </cell>
          <cell r="F1" t="str">
            <v>学历</v>
          </cell>
        </row>
        <row r="1">
          <cell r="K1" t="str">
            <v>工作岗位</v>
          </cell>
        </row>
        <row r="1">
          <cell r="N1" t="str">
            <v>人员类别</v>
          </cell>
        </row>
        <row r="1">
          <cell r="Q1" t="str">
            <v>所在党支部</v>
          </cell>
        </row>
        <row r="1">
          <cell r="V1" t="str">
            <v>是否入库</v>
          </cell>
        </row>
        <row r="2">
          <cell r="C2" t="str">
            <v>男</v>
          </cell>
        </row>
        <row r="2">
          <cell r="E2" t="str">
            <v>汉族</v>
          </cell>
          <cell r="F2" t="str">
            <v>大学</v>
          </cell>
        </row>
        <row r="2">
          <cell r="K2" t="str">
            <v>事业单位专业技术岗位</v>
          </cell>
        </row>
        <row r="2">
          <cell r="N2" t="str">
            <v>正式党员</v>
          </cell>
        </row>
        <row r="2">
          <cell r="Q2" t="str">
            <v>中共枣阳市太平镇中心学校机关支部委员会</v>
          </cell>
        </row>
        <row r="2">
          <cell r="V2" t="str">
            <v>已入库</v>
          </cell>
        </row>
        <row r="3">
          <cell r="C3" t="str">
            <v>男</v>
          </cell>
        </row>
        <row r="3">
          <cell r="E3" t="str">
            <v>汉族</v>
          </cell>
          <cell r="F3" t="str">
            <v>大学</v>
          </cell>
        </row>
        <row r="3">
          <cell r="K3" t="str">
            <v>事业单位专业技术岗位</v>
          </cell>
        </row>
        <row r="3">
          <cell r="N3" t="str">
            <v>正式党员</v>
          </cell>
        </row>
        <row r="3">
          <cell r="Q3" t="str">
            <v>中共枣阳市太平镇中心学校机关支部委员会</v>
          </cell>
        </row>
        <row r="3">
          <cell r="V3" t="str">
            <v>已入库</v>
          </cell>
        </row>
        <row r="4">
          <cell r="C4" t="str">
            <v>男</v>
          </cell>
        </row>
        <row r="4">
          <cell r="E4" t="str">
            <v>汉族</v>
          </cell>
          <cell r="F4" t="str">
            <v>大学</v>
          </cell>
        </row>
        <row r="4">
          <cell r="K4" t="str">
            <v>事业单位专业技术岗位</v>
          </cell>
        </row>
        <row r="4">
          <cell r="N4" t="str">
            <v>正式党员</v>
          </cell>
        </row>
        <row r="4">
          <cell r="Q4" t="str">
            <v>中共枣阳市太平镇中心学校机关支部委员会</v>
          </cell>
        </row>
        <row r="4">
          <cell r="V4" t="str">
            <v>已入库</v>
          </cell>
        </row>
        <row r="5">
          <cell r="C5" t="str">
            <v>男</v>
          </cell>
        </row>
        <row r="5">
          <cell r="E5" t="str">
            <v>汉族</v>
          </cell>
          <cell r="F5" t="str">
            <v>大学</v>
          </cell>
        </row>
        <row r="5">
          <cell r="K5" t="str">
            <v>事业单位专业技术岗位</v>
          </cell>
        </row>
        <row r="5">
          <cell r="N5" t="str">
            <v>正式党员</v>
          </cell>
        </row>
        <row r="5">
          <cell r="Q5" t="str">
            <v>中共枣阳市太平镇中心学校机关支部委员会</v>
          </cell>
        </row>
        <row r="5">
          <cell r="V5" t="str">
            <v>已入库</v>
          </cell>
        </row>
        <row r="6">
          <cell r="C6" t="str">
            <v>男</v>
          </cell>
        </row>
        <row r="6">
          <cell r="E6" t="str">
            <v>汉族</v>
          </cell>
          <cell r="F6" t="str">
            <v>大专</v>
          </cell>
        </row>
        <row r="6">
          <cell r="K6" t="str">
            <v>事业单位专业技术岗位</v>
          </cell>
        </row>
        <row r="6">
          <cell r="N6" t="str">
            <v>正式党员</v>
          </cell>
        </row>
        <row r="6">
          <cell r="Q6" t="str">
            <v>中共枣阳市太平镇中心学校机关支部委员会</v>
          </cell>
        </row>
        <row r="6">
          <cell r="V6" t="str">
            <v>已入库</v>
          </cell>
        </row>
        <row r="7">
          <cell r="C7" t="str">
            <v>男</v>
          </cell>
        </row>
        <row r="7">
          <cell r="E7" t="str">
            <v>汉族</v>
          </cell>
          <cell r="F7" t="str">
            <v>大学</v>
          </cell>
        </row>
        <row r="7">
          <cell r="K7" t="str">
            <v>事业单位专业技术岗位</v>
          </cell>
        </row>
        <row r="7">
          <cell r="N7" t="str">
            <v>正式党员</v>
          </cell>
        </row>
        <row r="7">
          <cell r="Q7" t="str">
            <v>中共枣阳市太平镇中心学校机关支部委员会</v>
          </cell>
        </row>
        <row r="7">
          <cell r="V7" t="str">
            <v>已入库</v>
          </cell>
        </row>
        <row r="8">
          <cell r="C8" t="str">
            <v>男</v>
          </cell>
        </row>
        <row r="8">
          <cell r="E8" t="str">
            <v>汉族</v>
          </cell>
          <cell r="F8" t="str">
            <v>大学</v>
          </cell>
        </row>
        <row r="8">
          <cell r="K8" t="str">
            <v>事业单位专业技术岗位</v>
          </cell>
        </row>
        <row r="8">
          <cell r="N8" t="str">
            <v>正式党员</v>
          </cell>
        </row>
        <row r="8">
          <cell r="Q8" t="str">
            <v>中共枣阳市太平镇中心学校机关支部委员会</v>
          </cell>
        </row>
        <row r="8">
          <cell r="V8" t="str">
            <v>已入库</v>
          </cell>
        </row>
        <row r="9">
          <cell r="C9" t="str">
            <v>男</v>
          </cell>
        </row>
        <row r="9">
          <cell r="E9" t="str">
            <v>汉族</v>
          </cell>
          <cell r="F9" t="str">
            <v>大学</v>
          </cell>
        </row>
        <row r="9">
          <cell r="K9" t="str">
            <v>事业单位专业技术岗位</v>
          </cell>
        </row>
        <row r="9">
          <cell r="N9" t="str">
            <v>正式党员</v>
          </cell>
        </row>
        <row r="9">
          <cell r="Q9" t="str">
            <v>中共枣阳市太平镇中心学校机关支部委员会</v>
          </cell>
        </row>
        <row r="9">
          <cell r="V9" t="str">
            <v>已入库</v>
          </cell>
        </row>
        <row r="10">
          <cell r="C10" t="str">
            <v>男</v>
          </cell>
        </row>
        <row r="10">
          <cell r="E10" t="str">
            <v>汉族</v>
          </cell>
          <cell r="F10" t="str">
            <v>大学</v>
          </cell>
        </row>
        <row r="10">
          <cell r="K10" t="str">
            <v>事业单位专业技术岗位</v>
          </cell>
        </row>
        <row r="10">
          <cell r="N10" t="str">
            <v>正式党员</v>
          </cell>
        </row>
        <row r="10">
          <cell r="Q10" t="str">
            <v>中共枣阳市太平镇中心学校机关支部委员会</v>
          </cell>
        </row>
        <row r="10">
          <cell r="V10" t="str">
            <v>已入库</v>
          </cell>
        </row>
        <row r="11">
          <cell r="C11" t="str">
            <v>男</v>
          </cell>
        </row>
        <row r="11">
          <cell r="E11" t="str">
            <v>汉族</v>
          </cell>
          <cell r="F11" t="str">
            <v>大学</v>
          </cell>
        </row>
        <row r="11">
          <cell r="K11" t="str">
            <v>事业单位专业技术岗位</v>
          </cell>
        </row>
        <row r="11">
          <cell r="N11" t="str">
            <v>正式党员</v>
          </cell>
        </row>
        <row r="11">
          <cell r="Q11" t="str">
            <v>中共枣阳市太平镇中心学校机关支部委员会</v>
          </cell>
        </row>
        <row r="11">
          <cell r="V11" t="str">
            <v>已入库</v>
          </cell>
        </row>
        <row r="12">
          <cell r="C12" t="str">
            <v>男</v>
          </cell>
        </row>
        <row r="12">
          <cell r="E12" t="str">
            <v>汉族</v>
          </cell>
          <cell r="F12" t="str">
            <v>大学</v>
          </cell>
        </row>
        <row r="12">
          <cell r="K12" t="str">
            <v>事业单位专业技术岗位</v>
          </cell>
        </row>
        <row r="12">
          <cell r="N12" t="str">
            <v>正式党员</v>
          </cell>
        </row>
        <row r="12">
          <cell r="Q12" t="str">
            <v>中共枣阳市太平镇中心学校机关支部委员会</v>
          </cell>
        </row>
        <row r="12">
          <cell r="V12" t="str">
            <v>已入库</v>
          </cell>
        </row>
        <row r="13">
          <cell r="C13" t="str">
            <v>男</v>
          </cell>
        </row>
        <row r="13">
          <cell r="E13" t="str">
            <v>汉族</v>
          </cell>
          <cell r="F13" t="str">
            <v>大学</v>
          </cell>
        </row>
        <row r="13">
          <cell r="K13" t="str">
            <v>事业单位专业技术岗位</v>
          </cell>
        </row>
        <row r="13">
          <cell r="N13" t="str">
            <v>正式党员</v>
          </cell>
        </row>
        <row r="13">
          <cell r="Q13" t="str">
            <v>中共枣阳市太平镇中心学校机关支部委员会</v>
          </cell>
        </row>
        <row r="13">
          <cell r="V13" t="str">
            <v>已入库</v>
          </cell>
        </row>
        <row r="14">
          <cell r="C14" t="str">
            <v>男</v>
          </cell>
        </row>
        <row r="14">
          <cell r="E14" t="str">
            <v>汉族</v>
          </cell>
          <cell r="F14" t="str">
            <v>大学</v>
          </cell>
        </row>
        <row r="14">
          <cell r="K14" t="str">
            <v>事业单位专业技术岗位</v>
          </cell>
        </row>
        <row r="14">
          <cell r="N14" t="str">
            <v>正式党员</v>
          </cell>
        </row>
        <row r="14">
          <cell r="Q14" t="str">
            <v>中共枣阳市太平镇中心学校机关支部委员会</v>
          </cell>
        </row>
        <row r="14">
          <cell r="V14" t="str">
            <v>已入库</v>
          </cell>
        </row>
        <row r="15">
          <cell r="C15" t="str">
            <v>男</v>
          </cell>
        </row>
        <row r="15">
          <cell r="E15" t="str">
            <v>汉族</v>
          </cell>
          <cell r="F15" t="str">
            <v>大学</v>
          </cell>
        </row>
        <row r="15">
          <cell r="K15" t="str">
            <v>事业单位专业技术岗位</v>
          </cell>
        </row>
        <row r="15">
          <cell r="N15" t="str">
            <v>正式党员</v>
          </cell>
        </row>
        <row r="15">
          <cell r="Q15" t="str">
            <v>中共枣阳市太平镇中心小学支部委员会</v>
          </cell>
        </row>
        <row r="15">
          <cell r="V15" t="str">
            <v>已入库</v>
          </cell>
        </row>
        <row r="16">
          <cell r="C16" t="str">
            <v>男</v>
          </cell>
        </row>
        <row r="16">
          <cell r="E16" t="str">
            <v>汉族</v>
          </cell>
          <cell r="F16" t="str">
            <v>大专</v>
          </cell>
        </row>
        <row r="16">
          <cell r="K16" t="str">
            <v>退休人员</v>
          </cell>
        </row>
        <row r="16">
          <cell r="N16" t="str">
            <v>正式党员</v>
          </cell>
        </row>
        <row r="16">
          <cell r="Q16" t="str">
            <v>中共枣阳市太平镇中心小学支部委员会</v>
          </cell>
        </row>
        <row r="16">
          <cell r="V16" t="str">
            <v>已入库</v>
          </cell>
        </row>
        <row r="17">
          <cell r="C17" t="str">
            <v>男</v>
          </cell>
        </row>
        <row r="17">
          <cell r="E17" t="str">
            <v>汉族</v>
          </cell>
          <cell r="F17" t="str">
            <v>大专</v>
          </cell>
        </row>
        <row r="17">
          <cell r="K17" t="str">
            <v>退休人员</v>
          </cell>
        </row>
        <row r="17">
          <cell r="N17" t="str">
            <v>正式党员</v>
          </cell>
        </row>
        <row r="17">
          <cell r="Q17" t="str">
            <v>中共枣阳市太平镇中心小学支部委员会</v>
          </cell>
        </row>
        <row r="17">
          <cell r="V17" t="str">
            <v>已入库</v>
          </cell>
        </row>
        <row r="18">
          <cell r="C18" t="str">
            <v>女</v>
          </cell>
        </row>
        <row r="18">
          <cell r="E18" t="str">
            <v>汉族</v>
          </cell>
          <cell r="F18" t="str">
            <v>大学</v>
          </cell>
        </row>
        <row r="18">
          <cell r="K18" t="str">
            <v>事业单位专业技术岗位</v>
          </cell>
        </row>
        <row r="18">
          <cell r="N18" t="str">
            <v>正式党员</v>
          </cell>
        </row>
        <row r="18">
          <cell r="Q18" t="str">
            <v>中共枣阳市太平镇中心小学支部委员会</v>
          </cell>
        </row>
        <row r="18">
          <cell r="V18" t="str">
            <v>已入库</v>
          </cell>
        </row>
        <row r="19">
          <cell r="C19" t="str">
            <v>女</v>
          </cell>
        </row>
        <row r="19">
          <cell r="E19" t="str">
            <v>汉族</v>
          </cell>
          <cell r="F19" t="str">
            <v>大专</v>
          </cell>
        </row>
        <row r="19">
          <cell r="K19" t="str">
            <v>退休人员</v>
          </cell>
        </row>
        <row r="19">
          <cell r="N19" t="str">
            <v>正式党员</v>
          </cell>
        </row>
        <row r="19">
          <cell r="Q19" t="str">
            <v>中共枣阳市太平镇中心小学支部委员会</v>
          </cell>
        </row>
        <row r="19">
          <cell r="V19" t="str">
            <v>已入库</v>
          </cell>
        </row>
        <row r="20">
          <cell r="C20" t="str">
            <v>男</v>
          </cell>
        </row>
        <row r="20">
          <cell r="E20" t="str">
            <v>汉族</v>
          </cell>
          <cell r="F20" t="str">
            <v>大专</v>
          </cell>
        </row>
        <row r="20">
          <cell r="K20" t="str">
            <v>事业单位专业技术岗位</v>
          </cell>
        </row>
        <row r="20">
          <cell r="N20" t="str">
            <v>正式党员</v>
          </cell>
        </row>
        <row r="20">
          <cell r="Q20" t="str">
            <v>中共枣阳市太平镇中心小学支部委员会</v>
          </cell>
        </row>
        <row r="20">
          <cell r="V20" t="str">
            <v>已入库</v>
          </cell>
        </row>
        <row r="21">
          <cell r="C21" t="str">
            <v>女</v>
          </cell>
        </row>
        <row r="21">
          <cell r="E21" t="str">
            <v>汉族</v>
          </cell>
          <cell r="F21" t="str">
            <v>大学</v>
          </cell>
        </row>
        <row r="21">
          <cell r="K21" t="str">
            <v>事业单位专业技术岗位</v>
          </cell>
        </row>
        <row r="21">
          <cell r="N21" t="str">
            <v>正式党员</v>
          </cell>
        </row>
        <row r="21">
          <cell r="Q21" t="str">
            <v>中共枣阳市太平镇中心小学支部委员会</v>
          </cell>
        </row>
        <row r="21">
          <cell r="V21" t="str">
            <v>已入库</v>
          </cell>
        </row>
        <row r="22">
          <cell r="C22" t="str">
            <v>男</v>
          </cell>
        </row>
        <row r="22">
          <cell r="E22" t="str">
            <v>汉族</v>
          </cell>
          <cell r="F22" t="str">
            <v>大专</v>
          </cell>
        </row>
        <row r="22">
          <cell r="K22" t="str">
            <v>退休人员</v>
          </cell>
        </row>
        <row r="22">
          <cell r="N22" t="str">
            <v>正式党员</v>
          </cell>
        </row>
        <row r="22">
          <cell r="Q22" t="str">
            <v>中共枣阳市太平镇中心小学支部委员会</v>
          </cell>
        </row>
        <row r="22">
          <cell r="V22" t="str">
            <v>已入库</v>
          </cell>
        </row>
        <row r="23">
          <cell r="C23" t="str">
            <v>男</v>
          </cell>
        </row>
        <row r="23">
          <cell r="E23" t="str">
            <v>汉族</v>
          </cell>
          <cell r="F23" t="str">
            <v>大学</v>
          </cell>
        </row>
        <row r="23">
          <cell r="K23" t="str">
            <v>事业单位专业技术岗位</v>
          </cell>
        </row>
        <row r="23">
          <cell r="N23" t="str">
            <v>正式党员</v>
          </cell>
        </row>
        <row r="23">
          <cell r="Q23" t="str">
            <v>中共枣阳市太平镇中心小学支部委员会</v>
          </cell>
        </row>
        <row r="23">
          <cell r="V23" t="str">
            <v>已入库</v>
          </cell>
        </row>
        <row r="24">
          <cell r="C24" t="str">
            <v>女</v>
          </cell>
        </row>
        <row r="24">
          <cell r="E24" t="str">
            <v>汉族</v>
          </cell>
          <cell r="F24" t="str">
            <v>大学</v>
          </cell>
        </row>
        <row r="24">
          <cell r="K24" t="str">
            <v>事业单位专业技术岗位</v>
          </cell>
        </row>
        <row r="24">
          <cell r="N24" t="str">
            <v>正式党员</v>
          </cell>
        </row>
        <row r="24">
          <cell r="Q24" t="str">
            <v>中共枣阳市太平镇中心小学支部委员会</v>
          </cell>
        </row>
        <row r="24">
          <cell r="V24" t="str">
            <v>已入库</v>
          </cell>
        </row>
        <row r="25">
          <cell r="C25" t="str">
            <v>男</v>
          </cell>
        </row>
        <row r="25">
          <cell r="E25" t="str">
            <v>汉族</v>
          </cell>
          <cell r="F25" t="str">
            <v>大学</v>
          </cell>
        </row>
        <row r="25">
          <cell r="K25" t="str">
            <v>事业单位专业技术岗位</v>
          </cell>
        </row>
        <row r="25">
          <cell r="N25" t="str">
            <v>正式党员</v>
          </cell>
        </row>
        <row r="25">
          <cell r="Q25" t="str">
            <v>中共枣阳市太平镇中心小学支部委员会</v>
          </cell>
        </row>
        <row r="25">
          <cell r="V25" t="str">
            <v>已入库</v>
          </cell>
        </row>
        <row r="26">
          <cell r="C26" t="str">
            <v>男</v>
          </cell>
        </row>
        <row r="26">
          <cell r="E26" t="str">
            <v>汉族</v>
          </cell>
          <cell r="F26" t="str">
            <v>中专</v>
          </cell>
        </row>
        <row r="26">
          <cell r="K26" t="str">
            <v>退休人员</v>
          </cell>
        </row>
        <row r="26">
          <cell r="N26" t="str">
            <v>正式党员</v>
          </cell>
        </row>
        <row r="26">
          <cell r="Q26" t="str">
            <v>中共枣阳市太平镇中心小学支部委员会</v>
          </cell>
        </row>
        <row r="26">
          <cell r="V26" t="str">
            <v>已入库</v>
          </cell>
        </row>
        <row r="27">
          <cell r="C27" t="str">
            <v>男</v>
          </cell>
        </row>
        <row r="27">
          <cell r="E27" t="str">
            <v>汉族</v>
          </cell>
          <cell r="F27" t="str">
            <v>大学</v>
          </cell>
        </row>
        <row r="27">
          <cell r="K27" t="str">
            <v>事业单位专业技术岗位</v>
          </cell>
        </row>
        <row r="27">
          <cell r="N27" t="str">
            <v>正式党员</v>
          </cell>
        </row>
        <row r="27">
          <cell r="Q27" t="str">
            <v>中共枣阳市太平镇中心小学支部委员会</v>
          </cell>
        </row>
        <row r="27">
          <cell r="V27" t="str">
            <v>已入库</v>
          </cell>
        </row>
        <row r="28">
          <cell r="C28" t="str">
            <v>女</v>
          </cell>
        </row>
        <row r="28">
          <cell r="E28" t="str">
            <v>汉族</v>
          </cell>
          <cell r="F28" t="str">
            <v>大专</v>
          </cell>
        </row>
        <row r="28">
          <cell r="K28" t="str">
            <v>退休人员</v>
          </cell>
        </row>
        <row r="28">
          <cell r="N28" t="str">
            <v>正式党员</v>
          </cell>
        </row>
        <row r="28">
          <cell r="Q28" t="str">
            <v>中共枣阳市太平镇中心小学支部委员会</v>
          </cell>
        </row>
        <row r="28">
          <cell r="V28" t="str">
            <v>已入库</v>
          </cell>
        </row>
        <row r="29">
          <cell r="C29" t="str">
            <v>男</v>
          </cell>
        </row>
        <row r="29">
          <cell r="E29" t="str">
            <v>汉族</v>
          </cell>
          <cell r="F29" t="str">
            <v>大专</v>
          </cell>
        </row>
        <row r="29">
          <cell r="K29" t="str">
            <v>退休人员</v>
          </cell>
        </row>
        <row r="29">
          <cell r="N29" t="str">
            <v>正式党员</v>
          </cell>
        </row>
        <row r="29">
          <cell r="Q29" t="str">
            <v>中共枣阳市太平镇中心小学支部委员会</v>
          </cell>
        </row>
        <row r="29">
          <cell r="V29" t="str">
            <v>已入库</v>
          </cell>
        </row>
        <row r="30">
          <cell r="C30" t="str">
            <v>男</v>
          </cell>
        </row>
        <row r="30">
          <cell r="E30" t="str">
            <v>汉族</v>
          </cell>
          <cell r="F30" t="str">
            <v>大专</v>
          </cell>
        </row>
        <row r="30">
          <cell r="K30" t="str">
            <v>退休人员</v>
          </cell>
        </row>
        <row r="30">
          <cell r="N30" t="str">
            <v>正式党员</v>
          </cell>
        </row>
        <row r="30">
          <cell r="Q30" t="str">
            <v>中共枣阳市太平镇中心小学支部委员会</v>
          </cell>
        </row>
        <row r="30">
          <cell r="V30" t="str">
            <v>已入库</v>
          </cell>
        </row>
        <row r="31">
          <cell r="C31" t="str">
            <v>男</v>
          </cell>
        </row>
        <row r="31">
          <cell r="E31" t="str">
            <v>汉族</v>
          </cell>
          <cell r="F31" t="str">
            <v>大学</v>
          </cell>
        </row>
        <row r="31">
          <cell r="K31" t="str">
            <v>事业单位专业技术岗位</v>
          </cell>
        </row>
        <row r="31">
          <cell r="N31" t="str">
            <v>正式党员</v>
          </cell>
        </row>
        <row r="31">
          <cell r="Q31" t="str">
            <v>中共枣阳市太平镇中心小学支部委员会</v>
          </cell>
        </row>
        <row r="31">
          <cell r="V31" t="str">
            <v>已入库</v>
          </cell>
        </row>
        <row r="32">
          <cell r="C32" t="str">
            <v>男</v>
          </cell>
        </row>
        <row r="32">
          <cell r="E32" t="str">
            <v>汉族</v>
          </cell>
          <cell r="F32" t="str">
            <v>大专</v>
          </cell>
        </row>
        <row r="32">
          <cell r="K32" t="str">
            <v>退休人员</v>
          </cell>
        </row>
        <row r="32">
          <cell r="N32" t="str">
            <v>正式党员</v>
          </cell>
        </row>
        <row r="32">
          <cell r="Q32" t="str">
            <v>中共枣阳市太平镇中心小学支部委员会</v>
          </cell>
        </row>
        <row r="32">
          <cell r="V32" t="str">
            <v>已入库</v>
          </cell>
        </row>
        <row r="33">
          <cell r="C33" t="str">
            <v>女</v>
          </cell>
        </row>
        <row r="33">
          <cell r="E33" t="str">
            <v>汉族</v>
          </cell>
          <cell r="F33" t="str">
            <v>中专</v>
          </cell>
        </row>
        <row r="33">
          <cell r="K33" t="str">
            <v>退休人员</v>
          </cell>
        </row>
        <row r="33">
          <cell r="N33" t="str">
            <v>正式党员</v>
          </cell>
        </row>
        <row r="33">
          <cell r="Q33" t="str">
            <v>中共枣阳市太平镇中心小学支部委员会</v>
          </cell>
        </row>
        <row r="33">
          <cell r="V33" t="str">
            <v>已入库</v>
          </cell>
        </row>
        <row r="34">
          <cell r="C34" t="str">
            <v>男</v>
          </cell>
        </row>
        <row r="34">
          <cell r="E34" t="str">
            <v>汉族</v>
          </cell>
          <cell r="F34" t="str">
            <v>大专</v>
          </cell>
        </row>
        <row r="34">
          <cell r="K34" t="str">
            <v>事业单位专业技术岗位</v>
          </cell>
        </row>
        <row r="34">
          <cell r="N34" t="str">
            <v>正式党员</v>
          </cell>
        </row>
        <row r="34">
          <cell r="Q34" t="str">
            <v>中共枣阳市太平镇中心小学支部委员会</v>
          </cell>
        </row>
        <row r="34">
          <cell r="V34" t="str">
            <v>已入库</v>
          </cell>
        </row>
        <row r="35">
          <cell r="C35" t="str">
            <v>女</v>
          </cell>
        </row>
        <row r="35">
          <cell r="E35" t="str">
            <v>汉族</v>
          </cell>
          <cell r="F35" t="str">
            <v>中专</v>
          </cell>
        </row>
        <row r="35">
          <cell r="K35" t="str">
            <v>退休人员</v>
          </cell>
        </row>
        <row r="35">
          <cell r="N35" t="str">
            <v>正式党员</v>
          </cell>
        </row>
        <row r="35">
          <cell r="Q35" t="str">
            <v>中共枣阳市太平镇中心小学支部委员会</v>
          </cell>
        </row>
        <row r="35">
          <cell r="V35" t="str">
            <v>已入库</v>
          </cell>
        </row>
        <row r="36">
          <cell r="C36" t="str">
            <v>男</v>
          </cell>
        </row>
        <row r="36">
          <cell r="E36" t="str">
            <v>汉族</v>
          </cell>
          <cell r="F36" t="str">
            <v>中专</v>
          </cell>
        </row>
        <row r="36">
          <cell r="K36" t="str">
            <v>退休人员</v>
          </cell>
        </row>
        <row r="36">
          <cell r="N36" t="str">
            <v>正式党员</v>
          </cell>
        </row>
        <row r="36">
          <cell r="Q36" t="str">
            <v>中共枣阳市太平镇中心小学支部委员会</v>
          </cell>
        </row>
        <row r="36">
          <cell r="V36" t="str">
            <v>已入库</v>
          </cell>
        </row>
        <row r="37">
          <cell r="C37" t="str">
            <v>男</v>
          </cell>
        </row>
        <row r="37">
          <cell r="E37" t="str">
            <v>汉族</v>
          </cell>
          <cell r="F37" t="str">
            <v>大学</v>
          </cell>
        </row>
        <row r="37">
          <cell r="K37" t="str">
            <v>事业单位专业技术岗位</v>
          </cell>
        </row>
        <row r="37">
          <cell r="N37" t="str">
            <v>正式党员</v>
          </cell>
        </row>
        <row r="37">
          <cell r="Q37" t="str">
            <v>中共枣阳市太平镇中心小学支部委员会</v>
          </cell>
        </row>
        <row r="37">
          <cell r="V37" t="str">
            <v>已入库</v>
          </cell>
        </row>
        <row r="38">
          <cell r="C38" t="str">
            <v>女</v>
          </cell>
        </row>
        <row r="38">
          <cell r="E38" t="str">
            <v>汉族</v>
          </cell>
          <cell r="F38" t="str">
            <v>中专</v>
          </cell>
        </row>
        <row r="38">
          <cell r="K38" t="str">
            <v>退休人员</v>
          </cell>
        </row>
        <row r="38">
          <cell r="N38" t="str">
            <v>正式党员</v>
          </cell>
        </row>
        <row r="38">
          <cell r="Q38" t="str">
            <v>中共枣阳市太平镇中心小学支部委员会</v>
          </cell>
        </row>
        <row r="38">
          <cell r="V38" t="str">
            <v>已入库</v>
          </cell>
        </row>
        <row r="39">
          <cell r="C39" t="str">
            <v>女</v>
          </cell>
        </row>
        <row r="39">
          <cell r="E39" t="str">
            <v>汉族</v>
          </cell>
          <cell r="F39" t="str">
            <v>中专</v>
          </cell>
        </row>
        <row r="39">
          <cell r="K39" t="str">
            <v>退休人员</v>
          </cell>
        </row>
        <row r="39">
          <cell r="N39" t="str">
            <v>正式党员</v>
          </cell>
        </row>
        <row r="39">
          <cell r="Q39" t="str">
            <v>中共枣阳市太平镇中心小学支部委员会</v>
          </cell>
        </row>
        <row r="39">
          <cell r="V39" t="str">
            <v>已入库</v>
          </cell>
        </row>
        <row r="40">
          <cell r="C40" t="str">
            <v>女</v>
          </cell>
        </row>
        <row r="40">
          <cell r="E40" t="str">
            <v>汉族</v>
          </cell>
          <cell r="F40" t="str">
            <v>大学</v>
          </cell>
        </row>
        <row r="40">
          <cell r="K40" t="str">
            <v>事业单位专业技术岗位</v>
          </cell>
        </row>
        <row r="40">
          <cell r="N40" t="str">
            <v>正式党员</v>
          </cell>
        </row>
        <row r="40">
          <cell r="Q40" t="str">
            <v>中共枣阳市太平镇中心小学支部委员会</v>
          </cell>
        </row>
        <row r="40">
          <cell r="V40" t="str">
            <v>已入库</v>
          </cell>
        </row>
        <row r="41">
          <cell r="C41" t="str">
            <v>男</v>
          </cell>
        </row>
        <row r="41">
          <cell r="E41" t="str">
            <v>汉族</v>
          </cell>
          <cell r="F41" t="str">
            <v>大专</v>
          </cell>
        </row>
        <row r="41">
          <cell r="K41" t="str">
            <v>退休人员</v>
          </cell>
        </row>
        <row r="41">
          <cell r="N41" t="str">
            <v>正式党员</v>
          </cell>
        </row>
        <row r="41">
          <cell r="Q41" t="str">
            <v>中共枣阳市太平镇中心小学支部委员会</v>
          </cell>
        </row>
        <row r="41">
          <cell r="V41" t="str">
            <v>已入库</v>
          </cell>
        </row>
        <row r="42">
          <cell r="C42" t="str">
            <v>女</v>
          </cell>
        </row>
        <row r="42">
          <cell r="E42" t="str">
            <v>汉族</v>
          </cell>
          <cell r="F42" t="str">
            <v>大学</v>
          </cell>
        </row>
        <row r="42">
          <cell r="K42" t="str">
            <v>事业单位专业技术岗位</v>
          </cell>
        </row>
        <row r="42">
          <cell r="N42" t="str">
            <v>正式党员</v>
          </cell>
        </row>
        <row r="42">
          <cell r="Q42" t="str">
            <v>中共枣阳市太平镇中心小学支部委员会</v>
          </cell>
        </row>
        <row r="42">
          <cell r="V42" t="str">
            <v>已入库</v>
          </cell>
        </row>
        <row r="43">
          <cell r="C43" t="str">
            <v>男</v>
          </cell>
        </row>
        <row r="43">
          <cell r="E43" t="str">
            <v>汉族</v>
          </cell>
          <cell r="F43" t="str">
            <v>大专</v>
          </cell>
        </row>
        <row r="43">
          <cell r="K43" t="str">
            <v>退休人员</v>
          </cell>
        </row>
        <row r="43">
          <cell r="N43" t="str">
            <v>正式党员</v>
          </cell>
        </row>
        <row r="43">
          <cell r="Q43" t="str">
            <v>中共枣阳市太平镇中心小学支部委员会</v>
          </cell>
        </row>
        <row r="43">
          <cell r="V43" t="str">
            <v>已入库</v>
          </cell>
        </row>
        <row r="44">
          <cell r="C44" t="str">
            <v>女</v>
          </cell>
        </row>
        <row r="44">
          <cell r="E44" t="str">
            <v>汉族</v>
          </cell>
          <cell r="F44" t="str">
            <v>大学</v>
          </cell>
        </row>
        <row r="44">
          <cell r="K44" t="str">
            <v>事业单位专业技术岗位</v>
          </cell>
        </row>
        <row r="44">
          <cell r="N44" t="str">
            <v>正式党员</v>
          </cell>
        </row>
        <row r="44">
          <cell r="Q44" t="str">
            <v>中共枣阳市太平镇中心小学支部委员会</v>
          </cell>
        </row>
        <row r="44">
          <cell r="V44" t="str">
            <v>已入库</v>
          </cell>
        </row>
        <row r="45">
          <cell r="C45" t="str">
            <v>女</v>
          </cell>
        </row>
        <row r="45">
          <cell r="E45" t="str">
            <v>汉族</v>
          </cell>
          <cell r="F45" t="str">
            <v>大学</v>
          </cell>
        </row>
        <row r="45">
          <cell r="K45" t="str">
            <v>退休人员</v>
          </cell>
        </row>
        <row r="45">
          <cell r="N45" t="str">
            <v>正式党员</v>
          </cell>
        </row>
        <row r="45">
          <cell r="Q45" t="str">
            <v>中共枣阳市太平镇中心小学支部委员会</v>
          </cell>
        </row>
        <row r="45">
          <cell r="V45" t="str">
            <v>已入库</v>
          </cell>
        </row>
        <row r="46">
          <cell r="C46" t="str">
            <v>男</v>
          </cell>
        </row>
        <row r="46">
          <cell r="E46" t="str">
            <v>汉族</v>
          </cell>
          <cell r="F46" t="str">
            <v>大专</v>
          </cell>
        </row>
        <row r="46">
          <cell r="K46" t="str">
            <v>事业单位专业技术岗位</v>
          </cell>
        </row>
        <row r="46">
          <cell r="N46" t="str">
            <v>正式党员</v>
          </cell>
        </row>
        <row r="46">
          <cell r="Q46" t="str">
            <v>中共枣阳市太平镇中心小学支部委员会</v>
          </cell>
        </row>
        <row r="46">
          <cell r="V46" t="str">
            <v>已入库</v>
          </cell>
        </row>
        <row r="47">
          <cell r="C47" t="str">
            <v>女</v>
          </cell>
        </row>
        <row r="47">
          <cell r="E47" t="str">
            <v>汉族</v>
          </cell>
          <cell r="F47" t="str">
            <v>大学</v>
          </cell>
        </row>
        <row r="47">
          <cell r="K47" t="str">
            <v>事业单位专业技术岗位</v>
          </cell>
        </row>
        <row r="47">
          <cell r="N47" t="str">
            <v>正式党员</v>
          </cell>
        </row>
        <row r="47">
          <cell r="Q47" t="str">
            <v>中共枣阳市太平镇中心小学支部委员会</v>
          </cell>
        </row>
        <row r="47">
          <cell r="V47" t="str">
            <v>已入库</v>
          </cell>
        </row>
        <row r="48">
          <cell r="C48" t="str">
            <v>女</v>
          </cell>
        </row>
        <row r="48">
          <cell r="E48" t="str">
            <v>汉族</v>
          </cell>
          <cell r="F48" t="str">
            <v>大专</v>
          </cell>
        </row>
        <row r="48">
          <cell r="K48" t="str">
            <v>事业单位专业技术岗位</v>
          </cell>
        </row>
        <row r="48">
          <cell r="N48" t="str">
            <v>正式党员</v>
          </cell>
        </row>
        <row r="48">
          <cell r="Q48" t="str">
            <v>中共枣阳市太平镇中心小学支部委员会</v>
          </cell>
        </row>
        <row r="48">
          <cell r="V48" t="str">
            <v>已入库</v>
          </cell>
        </row>
        <row r="49">
          <cell r="C49" t="str">
            <v>女</v>
          </cell>
        </row>
        <row r="49">
          <cell r="E49" t="str">
            <v>汉族</v>
          </cell>
          <cell r="F49" t="str">
            <v>大专</v>
          </cell>
        </row>
        <row r="49">
          <cell r="K49" t="str">
            <v>事业单位专业技术岗位</v>
          </cell>
        </row>
        <row r="49">
          <cell r="N49" t="str">
            <v>正式党员</v>
          </cell>
        </row>
        <row r="49">
          <cell r="Q49" t="str">
            <v>中共枣阳市太平镇中心小学支部委员会</v>
          </cell>
        </row>
        <row r="49">
          <cell r="V49" t="str">
            <v>已入库</v>
          </cell>
        </row>
        <row r="50">
          <cell r="C50" t="str">
            <v>男</v>
          </cell>
        </row>
        <row r="50">
          <cell r="E50" t="str">
            <v>汉族</v>
          </cell>
          <cell r="F50" t="str">
            <v>大学</v>
          </cell>
        </row>
        <row r="50">
          <cell r="K50" t="str">
            <v>事业单位专业技术岗位</v>
          </cell>
        </row>
        <row r="50">
          <cell r="N50" t="str">
            <v>正式党员</v>
          </cell>
        </row>
        <row r="50">
          <cell r="Q50" t="str">
            <v>中共枣阳市太平镇中心小学支部委员会</v>
          </cell>
        </row>
        <row r="50">
          <cell r="V50" t="str">
            <v>已入库</v>
          </cell>
        </row>
        <row r="51">
          <cell r="C51" t="str">
            <v>男</v>
          </cell>
        </row>
        <row r="51">
          <cell r="E51" t="str">
            <v>汉族</v>
          </cell>
          <cell r="F51" t="str">
            <v>大专</v>
          </cell>
        </row>
        <row r="51">
          <cell r="K51" t="str">
            <v>退休人员</v>
          </cell>
        </row>
        <row r="51">
          <cell r="N51" t="str">
            <v>正式党员</v>
          </cell>
        </row>
        <row r="51">
          <cell r="Q51" t="str">
            <v>中共枣阳市太平镇中心小学支部委员会</v>
          </cell>
        </row>
        <row r="51">
          <cell r="V51" t="str">
            <v>已入库</v>
          </cell>
        </row>
        <row r="52">
          <cell r="C52" t="str">
            <v>男</v>
          </cell>
        </row>
        <row r="52">
          <cell r="E52" t="str">
            <v>汉族</v>
          </cell>
          <cell r="F52" t="str">
            <v>大学</v>
          </cell>
        </row>
        <row r="52">
          <cell r="K52" t="str">
            <v>事业单位专业技术岗位</v>
          </cell>
        </row>
        <row r="52">
          <cell r="N52" t="str">
            <v>正式党员</v>
          </cell>
        </row>
        <row r="52">
          <cell r="Q52" t="str">
            <v>中共枣阳市太平镇中心小学支部委员会</v>
          </cell>
        </row>
        <row r="52">
          <cell r="V52" t="str">
            <v>已入库</v>
          </cell>
        </row>
        <row r="53">
          <cell r="C53" t="str">
            <v>女</v>
          </cell>
        </row>
        <row r="53">
          <cell r="E53" t="str">
            <v>汉族</v>
          </cell>
          <cell r="F53" t="str">
            <v>中专</v>
          </cell>
        </row>
        <row r="53">
          <cell r="K53" t="str">
            <v>退休人员</v>
          </cell>
        </row>
        <row r="53">
          <cell r="N53" t="str">
            <v>正式党员</v>
          </cell>
        </row>
        <row r="53">
          <cell r="Q53" t="str">
            <v>中共枣阳市太平镇中心小学支部委员会</v>
          </cell>
        </row>
        <row r="53">
          <cell r="V53" t="str">
            <v>已入库</v>
          </cell>
        </row>
        <row r="54">
          <cell r="C54" t="str">
            <v>女</v>
          </cell>
        </row>
        <row r="54">
          <cell r="E54" t="str">
            <v>汉族</v>
          </cell>
          <cell r="F54" t="str">
            <v>中专</v>
          </cell>
        </row>
        <row r="54">
          <cell r="K54" t="str">
            <v>退休人员</v>
          </cell>
        </row>
        <row r="54">
          <cell r="N54" t="str">
            <v>正式党员</v>
          </cell>
        </row>
        <row r="54">
          <cell r="Q54" t="str">
            <v>中共枣阳市太平镇中心小学支部委员会</v>
          </cell>
        </row>
        <row r="54">
          <cell r="V54" t="str">
            <v>已入库</v>
          </cell>
        </row>
        <row r="55">
          <cell r="C55" t="str">
            <v>女</v>
          </cell>
        </row>
        <row r="55">
          <cell r="E55" t="str">
            <v>汉族</v>
          </cell>
          <cell r="F55" t="str">
            <v>高中</v>
          </cell>
        </row>
        <row r="55">
          <cell r="K55" t="str">
            <v>事业单位专业技术岗位</v>
          </cell>
        </row>
        <row r="55">
          <cell r="N55" t="str">
            <v>正式党员</v>
          </cell>
        </row>
        <row r="55">
          <cell r="Q55" t="str">
            <v>中共枣阳市太平镇中心小学支部委员会</v>
          </cell>
        </row>
        <row r="55">
          <cell r="V55" t="str">
            <v>已入库</v>
          </cell>
        </row>
        <row r="56">
          <cell r="C56" t="str">
            <v>男</v>
          </cell>
        </row>
        <row r="56">
          <cell r="E56" t="str">
            <v>汉族</v>
          </cell>
          <cell r="F56" t="str">
            <v>中专</v>
          </cell>
        </row>
        <row r="56">
          <cell r="K56" t="str">
            <v>退休人员</v>
          </cell>
        </row>
        <row r="56">
          <cell r="N56" t="str">
            <v>正式党员</v>
          </cell>
        </row>
        <row r="56">
          <cell r="Q56" t="str">
            <v>中共枣阳市太平镇中心小学支部委员会</v>
          </cell>
        </row>
        <row r="56">
          <cell r="V56" t="str">
            <v>已入库</v>
          </cell>
        </row>
        <row r="57">
          <cell r="C57" t="str">
            <v>男</v>
          </cell>
        </row>
        <row r="57">
          <cell r="E57" t="str">
            <v>汉族</v>
          </cell>
          <cell r="F57" t="str">
            <v>中专</v>
          </cell>
        </row>
        <row r="57">
          <cell r="K57" t="str">
            <v>退休人员</v>
          </cell>
        </row>
        <row r="57">
          <cell r="N57" t="str">
            <v>正式党员</v>
          </cell>
        </row>
        <row r="57">
          <cell r="Q57" t="str">
            <v>中共枣阳市太平镇中心小学支部委员会</v>
          </cell>
        </row>
        <row r="57">
          <cell r="V57" t="str">
            <v>已入库</v>
          </cell>
        </row>
        <row r="58">
          <cell r="C58" t="str">
            <v>女</v>
          </cell>
        </row>
        <row r="58">
          <cell r="E58" t="str">
            <v>汉族</v>
          </cell>
          <cell r="F58" t="str">
            <v>大学</v>
          </cell>
        </row>
        <row r="58">
          <cell r="K58" t="str">
            <v>事业单位专业技术岗位</v>
          </cell>
        </row>
        <row r="58">
          <cell r="N58" t="str">
            <v>正式党员</v>
          </cell>
        </row>
        <row r="58">
          <cell r="Q58" t="str">
            <v>中共枣阳市太平镇中心小学支部委员会</v>
          </cell>
        </row>
        <row r="58">
          <cell r="V58" t="str">
            <v>已入库</v>
          </cell>
        </row>
        <row r="59">
          <cell r="C59" t="str">
            <v>男</v>
          </cell>
        </row>
        <row r="59">
          <cell r="E59" t="str">
            <v>汉族</v>
          </cell>
          <cell r="F59" t="str">
            <v>大学</v>
          </cell>
        </row>
        <row r="59">
          <cell r="K59" t="str">
            <v>退休人员</v>
          </cell>
        </row>
        <row r="59">
          <cell r="N59" t="str">
            <v>正式党员</v>
          </cell>
        </row>
        <row r="59">
          <cell r="Q59" t="str">
            <v>中共枣阳市太平镇中心小学支部委员会</v>
          </cell>
        </row>
        <row r="59">
          <cell r="V59" t="str">
            <v>已入库</v>
          </cell>
        </row>
        <row r="60">
          <cell r="C60" t="str">
            <v>男</v>
          </cell>
        </row>
        <row r="60">
          <cell r="E60" t="str">
            <v>汉族</v>
          </cell>
          <cell r="F60" t="str">
            <v>高中</v>
          </cell>
        </row>
        <row r="60">
          <cell r="K60" t="str">
            <v>事业单位管理岗位（含参照管理）</v>
          </cell>
        </row>
        <row r="60">
          <cell r="N60" t="str">
            <v>正式党员</v>
          </cell>
        </row>
        <row r="60">
          <cell r="Q60" t="str">
            <v>中共枣阳市太平镇中心小学支部委员会</v>
          </cell>
        </row>
        <row r="60">
          <cell r="V60" t="str">
            <v>已入库</v>
          </cell>
        </row>
        <row r="61">
          <cell r="C61" t="str">
            <v>女</v>
          </cell>
        </row>
        <row r="61">
          <cell r="E61" t="str">
            <v>汉族</v>
          </cell>
          <cell r="F61" t="str">
            <v>大专</v>
          </cell>
        </row>
        <row r="61">
          <cell r="K61" t="str">
            <v>事业单位专业技术岗位</v>
          </cell>
        </row>
        <row r="61">
          <cell r="N61" t="str">
            <v>正式党员</v>
          </cell>
        </row>
        <row r="61">
          <cell r="Q61" t="str">
            <v>中共枣阳市太平镇中心幼儿园支部委员会</v>
          </cell>
        </row>
        <row r="61">
          <cell r="V61" t="str">
            <v>已入库</v>
          </cell>
        </row>
        <row r="62">
          <cell r="C62" t="str">
            <v>女</v>
          </cell>
        </row>
        <row r="62">
          <cell r="E62" t="str">
            <v>汉族</v>
          </cell>
          <cell r="F62" t="str">
            <v>大学</v>
          </cell>
        </row>
        <row r="62">
          <cell r="K62" t="str">
            <v>事业单位专业技术岗位</v>
          </cell>
        </row>
        <row r="62">
          <cell r="N62" t="str">
            <v>正式党员</v>
          </cell>
        </row>
        <row r="62">
          <cell r="Q62" t="str">
            <v>中共枣阳市太平镇中心幼儿园支部委员会</v>
          </cell>
        </row>
        <row r="62">
          <cell r="V62" t="str">
            <v>已入库</v>
          </cell>
        </row>
        <row r="63">
          <cell r="C63" t="str">
            <v>女</v>
          </cell>
        </row>
        <row r="63">
          <cell r="E63" t="str">
            <v>汉族</v>
          </cell>
          <cell r="F63" t="str">
            <v>大学</v>
          </cell>
        </row>
        <row r="63">
          <cell r="K63" t="str">
            <v>事业单位专业技术岗位</v>
          </cell>
        </row>
        <row r="63">
          <cell r="N63" t="str">
            <v>正式党员</v>
          </cell>
        </row>
        <row r="63">
          <cell r="Q63" t="str">
            <v>中共枣阳市太平镇中心幼儿园支部委员会</v>
          </cell>
        </row>
        <row r="63">
          <cell r="V63" t="str">
            <v>已入库</v>
          </cell>
        </row>
        <row r="64">
          <cell r="C64" t="str">
            <v>男</v>
          </cell>
        </row>
        <row r="64">
          <cell r="E64" t="str">
            <v>汉族</v>
          </cell>
          <cell r="F64" t="str">
            <v>大专</v>
          </cell>
        </row>
        <row r="64">
          <cell r="K64" t="str">
            <v>事业单位管理岗位（含参照管理）</v>
          </cell>
        </row>
        <row r="64">
          <cell r="N64" t="str">
            <v>正式党员</v>
          </cell>
        </row>
        <row r="64">
          <cell r="Q64" t="str">
            <v>中共枣阳市太平镇中心幼儿园支部委员会</v>
          </cell>
        </row>
        <row r="64">
          <cell r="V64" t="str">
            <v>已入库</v>
          </cell>
        </row>
        <row r="65">
          <cell r="C65" t="str">
            <v>女</v>
          </cell>
        </row>
        <row r="65">
          <cell r="E65" t="str">
            <v>汉族</v>
          </cell>
          <cell r="F65" t="str">
            <v>大专</v>
          </cell>
        </row>
        <row r="65">
          <cell r="K65" t="str">
            <v>事业单位专业技术岗位</v>
          </cell>
        </row>
        <row r="65">
          <cell r="N65" t="str">
            <v>正式党员</v>
          </cell>
        </row>
        <row r="65">
          <cell r="Q65" t="str">
            <v>中共枣阳市太平镇中心幼儿园支部委员会</v>
          </cell>
        </row>
        <row r="65">
          <cell r="V65" t="str">
            <v>已入库</v>
          </cell>
        </row>
        <row r="66">
          <cell r="C66" t="str">
            <v>男</v>
          </cell>
        </row>
        <row r="66">
          <cell r="E66" t="str">
            <v>汉族</v>
          </cell>
          <cell r="F66" t="str">
            <v>大专</v>
          </cell>
        </row>
        <row r="66">
          <cell r="K66" t="str">
            <v>事业单位专业技术岗位</v>
          </cell>
        </row>
        <row r="66">
          <cell r="N66" t="str">
            <v>正式党员</v>
          </cell>
        </row>
        <row r="66">
          <cell r="Q66" t="str">
            <v>中共枣阳市太平镇光明小学支部</v>
          </cell>
        </row>
        <row r="66">
          <cell r="V66" t="str">
            <v>已入库</v>
          </cell>
        </row>
        <row r="67">
          <cell r="C67" t="str">
            <v>男</v>
          </cell>
        </row>
        <row r="67">
          <cell r="E67" t="str">
            <v>汉族</v>
          </cell>
          <cell r="F67" t="str">
            <v>大专</v>
          </cell>
        </row>
        <row r="67">
          <cell r="K67" t="str">
            <v>退休人员</v>
          </cell>
        </row>
        <row r="67">
          <cell r="N67" t="str">
            <v>正式党员</v>
          </cell>
        </row>
        <row r="67">
          <cell r="Q67" t="str">
            <v>中共枣阳市太平镇光明小学支部</v>
          </cell>
        </row>
        <row r="67">
          <cell r="V67" t="str">
            <v>已入库</v>
          </cell>
        </row>
        <row r="68">
          <cell r="C68" t="str">
            <v>男</v>
          </cell>
        </row>
        <row r="68">
          <cell r="E68" t="str">
            <v>汉族</v>
          </cell>
          <cell r="F68" t="str">
            <v>大专</v>
          </cell>
        </row>
        <row r="68">
          <cell r="K68" t="str">
            <v>退休人员</v>
          </cell>
        </row>
        <row r="68">
          <cell r="N68" t="str">
            <v>正式党员</v>
          </cell>
        </row>
        <row r="68">
          <cell r="Q68" t="str">
            <v>中共枣阳市太平镇光明小学支部</v>
          </cell>
        </row>
        <row r="68">
          <cell r="V68" t="str">
            <v>已入库</v>
          </cell>
        </row>
        <row r="69">
          <cell r="C69" t="str">
            <v>男</v>
          </cell>
        </row>
        <row r="69">
          <cell r="E69" t="str">
            <v>汉族</v>
          </cell>
          <cell r="F69" t="str">
            <v>大专</v>
          </cell>
        </row>
        <row r="69">
          <cell r="K69" t="str">
            <v>退休人员</v>
          </cell>
        </row>
        <row r="69">
          <cell r="N69" t="str">
            <v>正式党员</v>
          </cell>
        </row>
        <row r="69">
          <cell r="Q69" t="str">
            <v>中共枣阳市太平镇光明小学支部</v>
          </cell>
        </row>
        <row r="69">
          <cell r="V69" t="str">
            <v>已入库</v>
          </cell>
        </row>
        <row r="70">
          <cell r="C70" t="str">
            <v>男</v>
          </cell>
        </row>
        <row r="70">
          <cell r="E70" t="str">
            <v>汉族</v>
          </cell>
          <cell r="F70" t="str">
            <v>大专</v>
          </cell>
        </row>
        <row r="70">
          <cell r="K70" t="str">
            <v>退休人员</v>
          </cell>
        </row>
        <row r="70">
          <cell r="N70" t="str">
            <v>正式党员</v>
          </cell>
        </row>
        <row r="70">
          <cell r="Q70" t="str">
            <v>中共枣阳市太平镇光明小学支部</v>
          </cell>
        </row>
        <row r="70">
          <cell r="V70" t="str">
            <v>已入库</v>
          </cell>
        </row>
        <row r="71">
          <cell r="C71" t="str">
            <v>男</v>
          </cell>
        </row>
        <row r="71">
          <cell r="E71" t="str">
            <v>汉族</v>
          </cell>
          <cell r="F71" t="str">
            <v>大学</v>
          </cell>
        </row>
        <row r="71">
          <cell r="K71" t="str">
            <v>事业单位专业技术岗位</v>
          </cell>
        </row>
        <row r="71">
          <cell r="N71" t="str">
            <v>正式党员</v>
          </cell>
        </row>
        <row r="71">
          <cell r="Q71" t="str">
            <v>中共枣阳市太平镇光明小学支部</v>
          </cell>
        </row>
        <row r="71">
          <cell r="V71" t="str">
            <v>已入库</v>
          </cell>
        </row>
        <row r="72">
          <cell r="C72" t="str">
            <v>男</v>
          </cell>
        </row>
        <row r="72">
          <cell r="E72" t="str">
            <v>汉族</v>
          </cell>
          <cell r="F72" t="str">
            <v>大学</v>
          </cell>
        </row>
        <row r="72">
          <cell r="K72" t="str">
            <v>事业单位专业技术岗位</v>
          </cell>
        </row>
        <row r="72">
          <cell r="N72" t="str">
            <v>正式党员</v>
          </cell>
        </row>
        <row r="72">
          <cell r="Q72" t="str">
            <v>中共枣阳市太平镇光明小学支部</v>
          </cell>
        </row>
        <row r="72">
          <cell r="V72" t="str">
            <v>已入库</v>
          </cell>
        </row>
        <row r="73">
          <cell r="C73" t="str">
            <v>女</v>
          </cell>
        </row>
        <row r="73">
          <cell r="E73" t="str">
            <v>汉族</v>
          </cell>
          <cell r="F73" t="str">
            <v>大学</v>
          </cell>
        </row>
        <row r="73">
          <cell r="K73" t="str">
            <v>事业单位专业技术岗位</v>
          </cell>
        </row>
        <row r="73">
          <cell r="N73" t="str">
            <v>正式党员</v>
          </cell>
        </row>
        <row r="73">
          <cell r="Q73" t="str">
            <v>中共枣阳市太平镇光明小学支部</v>
          </cell>
        </row>
        <row r="73">
          <cell r="V73" t="str">
            <v>已入库</v>
          </cell>
        </row>
        <row r="74">
          <cell r="C74" t="str">
            <v>女</v>
          </cell>
        </row>
        <row r="74">
          <cell r="E74" t="str">
            <v>汉族</v>
          </cell>
          <cell r="F74" t="str">
            <v>大学</v>
          </cell>
        </row>
        <row r="74">
          <cell r="K74" t="str">
            <v>事业单位专业技术岗位</v>
          </cell>
        </row>
        <row r="74">
          <cell r="N74" t="str">
            <v>正式党员</v>
          </cell>
        </row>
        <row r="74">
          <cell r="Q74" t="str">
            <v>中共枣阳市太平镇光明小学支部</v>
          </cell>
        </row>
        <row r="74">
          <cell r="V74" t="str">
            <v>已入库</v>
          </cell>
        </row>
        <row r="75">
          <cell r="C75" t="str">
            <v>男</v>
          </cell>
        </row>
        <row r="75">
          <cell r="E75" t="str">
            <v>汉族</v>
          </cell>
          <cell r="F75" t="str">
            <v>大专</v>
          </cell>
        </row>
        <row r="75">
          <cell r="K75" t="str">
            <v>事业单位专业技术岗位</v>
          </cell>
        </row>
        <row r="75">
          <cell r="N75" t="str">
            <v>正式党员</v>
          </cell>
        </row>
        <row r="75">
          <cell r="Q75" t="str">
            <v>中共枣阳市太平镇光明小学支部</v>
          </cell>
        </row>
        <row r="75">
          <cell r="V75" t="str">
            <v>已入库</v>
          </cell>
        </row>
        <row r="76">
          <cell r="C76" t="str">
            <v>男</v>
          </cell>
        </row>
        <row r="76">
          <cell r="E76" t="str">
            <v>汉族</v>
          </cell>
          <cell r="F76" t="str">
            <v>大学</v>
          </cell>
        </row>
        <row r="76">
          <cell r="K76" t="str">
            <v>退休人员</v>
          </cell>
        </row>
        <row r="76">
          <cell r="N76" t="str">
            <v>正式党员</v>
          </cell>
        </row>
        <row r="76">
          <cell r="Q76" t="str">
            <v>中共枣阳市太平镇双河小学支部委员会</v>
          </cell>
        </row>
        <row r="76">
          <cell r="V76" t="str">
            <v>已入库</v>
          </cell>
        </row>
        <row r="77">
          <cell r="C77" t="str">
            <v>男</v>
          </cell>
        </row>
        <row r="77">
          <cell r="E77" t="str">
            <v>汉族</v>
          </cell>
          <cell r="F77" t="str">
            <v>大专</v>
          </cell>
        </row>
        <row r="77">
          <cell r="K77" t="str">
            <v>退休人员</v>
          </cell>
        </row>
        <row r="77">
          <cell r="N77" t="str">
            <v>正式党员</v>
          </cell>
        </row>
        <row r="77">
          <cell r="Q77" t="str">
            <v>中共枣阳市太平镇双河小学支部委员会</v>
          </cell>
        </row>
        <row r="77">
          <cell r="V77" t="str">
            <v>已入库</v>
          </cell>
        </row>
        <row r="78">
          <cell r="C78" t="str">
            <v>男</v>
          </cell>
        </row>
        <row r="78">
          <cell r="E78" t="str">
            <v>汉族</v>
          </cell>
          <cell r="F78" t="str">
            <v>大学</v>
          </cell>
        </row>
        <row r="78">
          <cell r="K78" t="str">
            <v>退休人员</v>
          </cell>
        </row>
        <row r="78">
          <cell r="N78" t="str">
            <v>正式党员</v>
          </cell>
        </row>
        <row r="78">
          <cell r="Q78" t="str">
            <v>中共枣阳市太平镇双河小学支部委员会</v>
          </cell>
        </row>
        <row r="78">
          <cell r="V78" t="str">
            <v>已入库</v>
          </cell>
        </row>
        <row r="79">
          <cell r="C79" t="str">
            <v>男</v>
          </cell>
        </row>
        <row r="79">
          <cell r="E79" t="str">
            <v>汉族</v>
          </cell>
          <cell r="F79" t="str">
            <v>大专</v>
          </cell>
        </row>
        <row r="79">
          <cell r="K79" t="str">
            <v>退休人员</v>
          </cell>
        </row>
        <row r="79">
          <cell r="N79" t="str">
            <v>正式党员</v>
          </cell>
        </row>
        <row r="79">
          <cell r="Q79" t="str">
            <v>中共枣阳市太平镇双河小学支部委员会</v>
          </cell>
        </row>
        <row r="79">
          <cell r="V79" t="str">
            <v>已入库</v>
          </cell>
        </row>
        <row r="80">
          <cell r="C80" t="str">
            <v>男</v>
          </cell>
        </row>
        <row r="80">
          <cell r="E80" t="str">
            <v>汉族</v>
          </cell>
          <cell r="F80" t="str">
            <v>大专</v>
          </cell>
        </row>
        <row r="80">
          <cell r="K80" t="str">
            <v>事业单位专业技术岗位</v>
          </cell>
        </row>
        <row r="80">
          <cell r="N80" t="str">
            <v>正式党员</v>
          </cell>
        </row>
        <row r="80">
          <cell r="Q80" t="str">
            <v>中共枣阳市太平镇双河小学支部委员会</v>
          </cell>
        </row>
        <row r="80">
          <cell r="V80" t="str">
            <v>已入库</v>
          </cell>
        </row>
        <row r="81">
          <cell r="C81" t="str">
            <v>男</v>
          </cell>
        </row>
        <row r="81">
          <cell r="E81" t="str">
            <v>汉族</v>
          </cell>
          <cell r="F81" t="str">
            <v>大专</v>
          </cell>
        </row>
        <row r="81">
          <cell r="K81" t="str">
            <v>退休人员</v>
          </cell>
        </row>
        <row r="81">
          <cell r="N81" t="str">
            <v>正式党员</v>
          </cell>
        </row>
        <row r="81">
          <cell r="Q81" t="str">
            <v>中共枣阳市太平镇双河小学支部委员会</v>
          </cell>
        </row>
        <row r="81">
          <cell r="V81" t="str">
            <v>已入库</v>
          </cell>
        </row>
        <row r="82">
          <cell r="C82" t="str">
            <v>男</v>
          </cell>
        </row>
        <row r="82">
          <cell r="E82" t="str">
            <v>汉族</v>
          </cell>
          <cell r="F82" t="str">
            <v>大学</v>
          </cell>
        </row>
        <row r="82">
          <cell r="K82" t="str">
            <v>事业单位专业技术岗位</v>
          </cell>
        </row>
        <row r="82">
          <cell r="N82" t="str">
            <v>正式党员</v>
          </cell>
        </row>
        <row r="82">
          <cell r="Q82" t="str">
            <v>中共枣阳市太平镇双河小学支部委员会</v>
          </cell>
        </row>
        <row r="82">
          <cell r="V82" t="str">
            <v>已入库</v>
          </cell>
        </row>
        <row r="83">
          <cell r="C83" t="str">
            <v>女</v>
          </cell>
        </row>
        <row r="83">
          <cell r="E83" t="str">
            <v>汉族</v>
          </cell>
          <cell r="F83" t="str">
            <v>大专</v>
          </cell>
        </row>
        <row r="83">
          <cell r="K83" t="str">
            <v>事业单位专业技术岗位</v>
          </cell>
        </row>
        <row r="83">
          <cell r="N83" t="str">
            <v>正式党员</v>
          </cell>
        </row>
        <row r="83">
          <cell r="Q83" t="str">
            <v>中共枣阳市太平镇双河小学支部委员会</v>
          </cell>
        </row>
        <row r="83">
          <cell r="V83" t="str">
            <v>已入库</v>
          </cell>
        </row>
        <row r="84">
          <cell r="C84" t="str">
            <v>女</v>
          </cell>
        </row>
        <row r="84">
          <cell r="E84" t="str">
            <v>汉族</v>
          </cell>
          <cell r="F84" t="str">
            <v>大专</v>
          </cell>
        </row>
        <row r="84">
          <cell r="K84" t="str">
            <v>退休人员</v>
          </cell>
        </row>
        <row r="84">
          <cell r="N84" t="str">
            <v>正式党员</v>
          </cell>
        </row>
        <row r="84">
          <cell r="Q84" t="str">
            <v>中共枣阳市太平镇双河小学支部委员会</v>
          </cell>
        </row>
        <row r="84">
          <cell r="V84" t="str">
            <v>已入库</v>
          </cell>
        </row>
        <row r="85">
          <cell r="C85" t="str">
            <v>女</v>
          </cell>
        </row>
        <row r="85">
          <cell r="E85" t="str">
            <v>汉族</v>
          </cell>
          <cell r="F85" t="str">
            <v>大专</v>
          </cell>
        </row>
        <row r="85">
          <cell r="K85" t="str">
            <v>退休人员</v>
          </cell>
        </row>
        <row r="85">
          <cell r="N85" t="str">
            <v>正式党员</v>
          </cell>
        </row>
        <row r="85">
          <cell r="Q85" t="str">
            <v>中共枣阳市太平镇双河小学支部委员会</v>
          </cell>
        </row>
        <row r="85">
          <cell r="V85" t="str">
            <v>已入库</v>
          </cell>
        </row>
        <row r="86">
          <cell r="C86" t="str">
            <v>女</v>
          </cell>
        </row>
        <row r="86">
          <cell r="E86" t="str">
            <v>汉族</v>
          </cell>
          <cell r="F86" t="str">
            <v>大专</v>
          </cell>
        </row>
        <row r="86">
          <cell r="K86" t="str">
            <v>退休人员</v>
          </cell>
        </row>
        <row r="86">
          <cell r="N86" t="str">
            <v>正式党员</v>
          </cell>
        </row>
        <row r="86">
          <cell r="Q86" t="str">
            <v>中共枣阳市太平镇双河小学支部委员会</v>
          </cell>
        </row>
        <row r="86">
          <cell r="V86" t="str">
            <v>已入库</v>
          </cell>
        </row>
        <row r="87">
          <cell r="C87" t="str">
            <v>男</v>
          </cell>
        </row>
        <row r="87">
          <cell r="E87" t="str">
            <v>汉族</v>
          </cell>
          <cell r="F87" t="str">
            <v>大专</v>
          </cell>
        </row>
        <row r="87">
          <cell r="K87" t="str">
            <v>退休人员</v>
          </cell>
        </row>
        <row r="87">
          <cell r="N87" t="str">
            <v>正式党员</v>
          </cell>
        </row>
        <row r="87">
          <cell r="Q87" t="str">
            <v>中共枣阳市太平镇双河小学支部委员会</v>
          </cell>
        </row>
        <row r="87">
          <cell r="V87" t="str">
            <v>已入库</v>
          </cell>
        </row>
        <row r="88">
          <cell r="C88" t="str">
            <v>男</v>
          </cell>
        </row>
        <row r="88">
          <cell r="E88" t="str">
            <v>汉族</v>
          </cell>
          <cell r="F88" t="str">
            <v>高中</v>
          </cell>
        </row>
        <row r="88">
          <cell r="K88" t="str">
            <v>退休人员</v>
          </cell>
        </row>
        <row r="88">
          <cell r="N88" t="str">
            <v>正式党员</v>
          </cell>
        </row>
        <row r="88">
          <cell r="Q88" t="str">
            <v>中共枣阳市太平镇双河小学支部委员会</v>
          </cell>
        </row>
        <row r="88">
          <cell r="V88" t="str">
            <v>已入库</v>
          </cell>
        </row>
        <row r="89">
          <cell r="C89" t="str">
            <v>女</v>
          </cell>
        </row>
        <row r="89">
          <cell r="E89" t="str">
            <v>汉族</v>
          </cell>
          <cell r="F89" t="str">
            <v>大学</v>
          </cell>
        </row>
        <row r="89">
          <cell r="K89" t="str">
            <v>事业单位专业技术岗位</v>
          </cell>
        </row>
        <row r="89">
          <cell r="N89" t="str">
            <v>正式党员</v>
          </cell>
        </row>
        <row r="89">
          <cell r="Q89" t="str">
            <v>中共枣阳市太平镇双河小学支部委员会</v>
          </cell>
        </row>
        <row r="89">
          <cell r="V89" t="str">
            <v>已入库</v>
          </cell>
        </row>
        <row r="90">
          <cell r="C90" t="str">
            <v>女</v>
          </cell>
        </row>
        <row r="90">
          <cell r="E90" t="str">
            <v>汉族</v>
          </cell>
          <cell r="F90" t="str">
            <v>大学</v>
          </cell>
        </row>
        <row r="90">
          <cell r="K90" t="str">
            <v>事业单位专业技术岗位</v>
          </cell>
        </row>
        <row r="90">
          <cell r="N90" t="str">
            <v>正式党员</v>
          </cell>
        </row>
        <row r="90">
          <cell r="Q90" t="str">
            <v>中共枣阳市太平镇双河小学支部委员会</v>
          </cell>
        </row>
        <row r="90">
          <cell r="V90" t="str">
            <v>已入库</v>
          </cell>
        </row>
        <row r="91">
          <cell r="C91" t="str">
            <v>男</v>
          </cell>
        </row>
        <row r="91">
          <cell r="E91" t="str">
            <v>汉族</v>
          </cell>
          <cell r="F91" t="str">
            <v>中专</v>
          </cell>
        </row>
        <row r="91">
          <cell r="K91" t="str">
            <v>退休人员</v>
          </cell>
        </row>
        <row r="91">
          <cell r="N91" t="str">
            <v>正式党员</v>
          </cell>
        </row>
        <row r="91">
          <cell r="Q91" t="str">
            <v>中共枣阳市太平镇寺庄小学支部委员会</v>
          </cell>
        </row>
        <row r="91">
          <cell r="V91" t="str">
            <v>已入库</v>
          </cell>
        </row>
        <row r="92">
          <cell r="C92" t="str">
            <v>男</v>
          </cell>
        </row>
        <row r="92">
          <cell r="E92" t="str">
            <v>汉族</v>
          </cell>
          <cell r="F92" t="str">
            <v>中专</v>
          </cell>
        </row>
        <row r="92">
          <cell r="K92" t="str">
            <v>退休人员</v>
          </cell>
        </row>
        <row r="92">
          <cell r="N92" t="str">
            <v>正式党员</v>
          </cell>
        </row>
        <row r="92">
          <cell r="Q92" t="str">
            <v>中共枣阳市太平镇寺庄小学支部委员会</v>
          </cell>
        </row>
        <row r="92">
          <cell r="V92" t="str">
            <v>已入库</v>
          </cell>
        </row>
        <row r="93">
          <cell r="C93" t="str">
            <v>女</v>
          </cell>
        </row>
        <row r="93">
          <cell r="E93" t="str">
            <v>汉族</v>
          </cell>
          <cell r="F93" t="str">
            <v>中专</v>
          </cell>
        </row>
        <row r="93">
          <cell r="K93" t="str">
            <v>退休人员</v>
          </cell>
        </row>
        <row r="93">
          <cell r="N93" t="str">
            <v>正式党员</v>
          </cell>
        </row>
        <row r="93">
          <cell r="Q93" t="str">
            <v>中共枣阳市太平镇寺庄小学支部委员会</v>
          </cell>
        </row>
        <row r="93">
          <cell r="V93" t="str">
            <v>已入库</v>
          </cell>
        </row>
        <row r="94">
          <cell r="C94" t="str">
            <v>男</v>
          </cell>
        </row>
        <row r="94">
          <cell r="E94" t="str">
            <v>汉族</v>
          </cell>
          <cell r="F94" t="str">
            <v>大学</v>
          </cell>
        </row>
        <row r="94">
          <cell r="K94" t="str">
            <v>退休人员</v>
          </cell>
        </row>
        <row r="94">
          <cell r="N94" t="str">
            <v>正式党员</v>
          </cell>
        </row>
        <row r="94">
          <cell r="Q94" t="str">
            <v>中共枣阳市太平镇寺庄小学支部委员会</v>
          </cell>
        </row>
        <row r="94">
          <cell r="V94" t="str">
            <v>已入库</v>
          </cell>
        </row>
        <row r="95">
          <cell r="C95" t="str">
            <v>男</v>
          </cell>
        </row>
        <row r="95">
          <cell r="E95" t="str">
            <v>汉族</v>
          </cell>
          <cell r="F95" t="str">
            <v>中专</v>
          </cell>
        </row>
        <row r="95">
          <cell r="K95" t="str">
            <v>事业单位专业技术岗位</v>
          </cell>
        </row>
        <row r="95">
          <cell r="N95" t="str">
            <v>正式党员</v>
          </cell>
        </row>
        <row r="95">
          <cell r="Q95" t="str">
            <v>中共枣阳市太平镇寺庄小学支部委员会</v>
          </cell>
        </row>
        <row r="95">
          <cell r="V95" t="str">
            <v>已入库</v>
          </cell>
        </row>
        <row r="96">
          <cell r="C96" t="str">
            <v>男</v>
          </cell>
        </row>
        <row r="96">
          <cell r="E96" t="str">
            <v>汉族</v>
          </cell>
          <cell r="F96" t="str">
            <v>大学</v>
          </cell>
        </row>
        <row r="96">
          <cell r="K96" t="str">
            <v>事业单位专业技术岗位</v>
          </cell>
        </row>
        <row r="96">
          <cell r="N96" t="str">
            <v>正式党员</v>
          </cell>
        </row>
        <row r="96">
          <cell r="Q96" t="str">
            <v>中共枣阳市太平镇寺庄小学支部委员会</v>
          </cell>
        </row>
        <row r="96">
          <cell r="V96" t="str">
            <v>已入库</v>
          </cell>
        </row>
        <row r="97">
          <cell r="C97" t="str">
            <v>男</v>
          </cell>
        </row>
        <row r="97">
          <cell r="E97" t="str">
            <v>汉族</v>
          </cell>
          <cell r="F97" t="str">
            <v>大专</v>
          </cell>
        </row>
        <row r="97">
          <cell r="K97" t="str">
            <v>退休人员</v>
          </cell>
        </row>
        <row r="97">
          <cell r="N97" t="str">
            <v>正式党员</v>
          </cell>
        </row>
        <row r="97">
          <cell r="Q97" t="str">
            <v>中共枣阳市太平镇寺庄小学支部委员会</v>
          </cell>
        </row>
        <row r="97">
          <cell r="V97" t="str">
            <v>已入库</v>
          </cell>
        </row>
        <row r="98">
          <cell r="C98" t="str">
            <v>男</v>
          </cell>
        </row>
        <row r="98">
          <cell r="E98" t="str">
            <v>汉族</v>
          </cell>
          <cell r="F98" t="str">
            <v>大专</v>
          </cell>
        </row>
        <row r="98">
          <cell r="K98" t="str">
            <v>事业单位专业技术岗位</v>
          </cell>
        </row>
        <row r="98">
          <cell r="N98" t="str">
            <v>正式党员</v>
          </cell>
        </row>
        <row r="98">
          <cell r="Q98" t="str">
            <v>中共枣阳市太平镇寺庄小学支部委员会</v>
          </cell>
        </row>
        <row r="98">
          <cell r="V98" t="str">
            <v>已入库</v>
          </cell>
        </row>
        <row r="99">
          <cell r="C99" t="str">
            <v>女</v>
          </cell>
        </row>
        <row r="99">
          <cell r="E99" t="str">
            <v>汉族</v>
          </cell>
          <cell r="F99" t="str">
            <v>中专</v>
          </cell>
        </row>
        <row r="99">
          <cell r="K99" t="str">
            <v>退休人员</v>
          </cell>
        </row>
        <row r="99">
          <cell r="N99" t="str">
            <v>正式党员</v>
          </cell>
        </row>
        <row r="99">
          <cell r="Q99" t="str">
            <v>中共枣阳市太平镇寺庄小学支部委员会</v>
          </cell>
        </row>
        <row r="99">
          <cell r="V99" t="str">
            <v>已入库</v>
          </cell>
        </row>
        <row r="100">
          <cell r="C100" t="str">
            <v>女</v>
          </cell>
        </row>
        <row r="100">
          <cell r="E100" t="str">
            <v>汉族</v>
          </cell>
          <cell r="F100" t="str">
            <v>中专</v>
          </cell>
        </row>
        <row r="100">
          <cell r="K100" t="str">
            <v>退休人员</v>
          </cell>
        </row>
        <row r="100">
          <cell r="N100" t="str">
            <v>正式党员</v>
          </cell>
        </row>
        <row r="100">
          <cell r="Q100" t="str">
            <v>中共枣阳市太平镇寺庄小学支部委员会</v>
          </cell>
        </row>
        <row r="100">
          <cell r="V100" t="str">
            <v>已入库</v>
          </cell>
        </row>
        <row r="101">
          <cell r="C101" t="str">
            <v>男</v>
          </cell>
        </row>
        <row r="101">
          <cell r="E101" t="str">
            <v>汉族</v>
          </cell>
          <cell r="F101" t="str">
            <v>中专</v>
          </cell>
        </row>
        <row r="101">
          <cell r="K101" t="str">
            <v>退休人员</v>
          </cell>
        </row>
        <row r="101">
          <cell r="N101" t="str">
            <v>正式党员</v>
          </cell>
        </row>
        <row r="101">
          <cell r="Q101" t="str">
            <v>中共枣阳市太平镇寺庄小学支部委员会</v>
          </cell>
        </row>
        <row r="101">
          <cell r="V101" t="str">
            <v>已入库</v>
          </cell>
        </row>
        <row r="102">
          <cell r="C102" t="str">
            <v>女</v>
          </cell>
        </row>
        <row r="102">
          <cell r="E102" t="str">
            <v>汉族</v>
          </cell>
          <cell r="F102" t="str">
            <v>大学</v>
          </cell>
        </row>
        <row r="102">
          <cell r="K102" t="str">
            <v>事业单位专业技术岗位</v>
          </cell>
        </row>
        <row r="102">
          <cell r="N102" t="str">
            <v>正式党员</v>
          </cell>
        </row>
        <row r="102">
          <cell r="Q102" t="str">
            <v>中共枣阳市太平镇寺庄小学支部委员会</v>
          </cell>
        </row>
        <row r="102">
          <cell r="V102" t="str">
            <v>已入库</v>
          </cell>
        </row>
        <row r="103">
          <cell r="C103" t="str">
            <v>男</v>
          </cell>
        </row>
        <row r="103">
          <cell r="E103" t="str">
            <v>汉族</v>
          </cell>
          <cell r="F103" t="str">
            <v>中专</v>
          </cell>
        </row>
        <row r="103">
          <cell r="K103" t="str">
            <v>退休人员</v>
          </cell>
        </row>
        <row r="103">
          <cell r="N103" t="str">
            <v>正式党员</v>
          </cell>
        </row>
        <row r="103">
          <cell r="Q103" t="str">
            <v>中共枣阳市太平镇李岗小学支部委员会</v>
          </cell>
        </row>
        <row r="103">
          <cell r="V103" t="str">
            <v>已入库</v>
          </cell>
        </row>
        <row r="104">
          <cell r="C104" t="str">
            <v>男</v>
          </cell>
        </row>
        <row r="104">
          <cell r="E104" t="str">
            <v>汉族</v>
          </cell>
          <cell r="F104" t="str">
            <v>大专</v>
          </cell>
        </row>
        <row r="104">
          <cell r="K104" t="str">
            <v>退休人员</v>
          </cell>
        </row>
        <row r="104">
          <cell r="N104" t="str">
            <v>正式党员</v>
          </cell>
        </row>
        <row r="104">
          <cell r="Q104" t="str">
            <v>中共枣阳市太平镇李岗小学支部委员会</v>
          </cell>
        </row>
        <row r="104">
          <cell r="V104" t="str">
            <v>已入库</v>
          </cell>
        </row>
        <row r="105">
          <cell r="C105" t="str">
            <v>女</v>
          </cell>
        </row>
        <row r="105">
          <cell r="E105" t="str">
            <v>汉族</v>
          </cell>
          <cell r="F105" t="str">
            <v>大学</v>
          </cell>
        </row>
        <row r="105">
          <cell r="K105" t="str">
            <v>事业单位专业技术岗位</v>
          </cell>
        </row>
        <row r="105">
          <cell r="N105" t="str">
            <v>正式党员</v>
          </cell>
        </row>
        <row r="105">
          <cell r="Q105" t="str">
            <v>中共枣阳市太平镇李岗小学支部委员会</v>
          </cell>
        </row>
        <row r="105">
          <cell r="V105" t="str">
            <v>已入库</v>
          </cell>
        </row>
        <row r="106">
          <cell r="C106" t="str">
            <v>男</v>
          </cell>
        </row>
        <row r="106">
          <cell r="E106" t="str">
            <v>汉族</v>
          </cell>
          <cell r="F106" t="str">
            <v>大专</v>
          </cell>
        </row>
        <row r="106">
          <cell r="K106" t="str">
            <v>事业单位专业技术岗位</v>
          </cell>
        </row>
        <row r="106">
          <cell r="N106" t="str">
            <v>正式党员</v>
          </cell>
        </row>
        <row r="106">
          <cell r="Q106" t="str">
            <v>中共枣阳市太平镇李岗小学支部委员会</v>
          </cell>
        </row>
        <row r="106">
          <cell r="V106" t="str">
            <v>已入库</v>
          </cell>
        </row>
        <row r="107">
          <cell r="C107" t="str">
            <v>男</v>
          </cell>
        </row>
        <row r="107">
          <cell r="E107" t="str">
            <v>汉族</v>
          </cell>
          <cell r="F107" t="str">
            <v>中专</v>
          </cell>
        </row>
        <row r="107">
          <cell r="K107" t="str">
            <v>退休人员</v>
          </cell>
        </row>
        <row r="107">
          <cell r="N107" t="str">
            <v>正式党员</v>
          </cell>
        </row>
        <row r="107">
          <cell r="Q107" t="str">
            <v>中共枣阳市太平镇李岗小学支部委员会</v>
          </cell>
        </row>
        <row r="107">
          <cell r="V107" t="str">
            <v>已入库</v>
          </cell>
        </row>
        <row r="108">
          <cell r="C108" t="str">
            <v>男</v>
          </cell>
        </row>
        <row r="108">
          <cell r="E108" t="str">
            <v>汉族</v>
          </cell>
          <cell r="F108" t="str">
            <v>大专</v>
          </cell>
        </row>
        <row r="108">
          <cell r="K108" t="str">
            <v>退休人员</v>
          </cell>
        </row>
        <row r="108">
          <cell r="N108" t="str">
            <v>正式党员</v>
          </cell>
        </row>
        <row r="108">
          <cell r="Q108" t="str">
            <v>中共枣阳市太平镇李岗小学支部委员会</v>
          </cell>
        </row>
        <row r="108">
          <cell r="V108" t="str">
            <v>已入库</v>
          </cell>
        </row>
        <row r="109">
          <cell r="C109" t="str">
            <v>男</v>
          </cell>
        </row>
        <row r="109">
          <cell r="E109" t="str">
            <v>汉族</v>
          </cell>
          <cell r="F109" t="str">
            <v>中专</v>
          </cell>
        </row>
        <row r="109">
          <cell r="K109" t="str">
            <v>退休人员</v>
          </cell>
        </row>
        <row r="109">
          <cell r="N109" t="str">
            <v>正式党员</v>
          </cell>
        </row>
        <row r="109">
          <cell r="Q109" t="str">
            <v>中共枣阳市太平镇李岗小学支部委员会</v>
          </cell>
        </row>
        <row r="109">
          <cell r="V109" t="str">
            <v>已入库</v>
          </cell>
        </row>
        <row r="110">
          <cell r="C110" t="str">
            <v>男</v>
          </cell>
        </row>
        <row r="110">
          <cell r="E110" t="str">
            <v>汉族</v>
          </cell>
          <cell r="F110" t="str">
            <v>中专</v>
          </cell>
        </row>
        <row r="110">
          <cell r="K110" t="str">
            <v>退休人员</v>
          </cell>
        </row>
        <row r="110">
          <cell r="N110" t="str">
            <v>正式党员</v>
          </cell>
        </row>
        <row r="110">
          <cell r="Q110" t="str">
            <v>中共枣阳市太平镇李岗小学支部委员会</v>
          </cell>
        </row>
        <row r="110">
          <cell r="V110" t="str">
            <v>已入库</v>
          </cell>
        </row>
        <row r="111">
          <cell r="C111" t="str">
            <v>男</v>
          </cell>
        </row>
        <row r="111">
          <cell r="E111" t="str">
            <v>汉族</v>
          </cell>
          <cell r="F111" t="str">
            <v>中专</v>
          </cell>
        </row>
        <row r="111">
          <cell r="K111" t="str">
            <v>退休人员</v>
          </cell>
        </row>
        <row r="111">
          <cell r="N111" t="str">
            <v>正式党员</v>
          </cell>
        </row>
        <row r="111">
          <cell r="Q111" t="str">
            <v>中共枣阳市太平镇李岗小学支部委员会</v>
          </cell>
        </row>
        <row r="111">
          <cell r="V111" t="str">
            <v>已入库</v>
          </cell>
        </row>
        <row r="112">
          <cell r="C112" t="str">
            <v>男</v>
          </cell>
        </row>
        <row r="112">
          <cell r="E112" t="str">
            <v>汉族</v>
          </cell>
          <cell r="F112" t="str">
            <v>中专</v>
          </cell>
        </row>
        <row r="112">
          <cell r="K112" t="str">
            <v>退休人员</v>
          </cell>
        </row>
        <row r="112">
          <cell r="N112" t="str">
            <v>正式党员</v>
          </cell>
        </row>
        <row r="112">
          <cell r="Q112" t="str">
            <v>中共枣阳市太平镇李岗小学支部委员会</v>
          </cell>
        </row>
        <row r="112">
          <cell r="V112" t="str">
            <v>已入库</v>
          </cell>
        </row>
        <row r="113">
          <cell r="C113" t="str">
            <v>女</v>
          </cell>
        </row>
        <row r="113">
          <cell r="E113" t="str">
            <v>汉族</v>
          </cell>
          <cell r="F113" t="str">
            <v>大专</v>
          </cell>
        </row>
        <row r="113">
          <cell r="K113" t="str">
            <v>退休人员</v>
          </cell>
        </row>
        <row r="113">
          <cell r="N113" t="str">
            <v>正式党员</v>
          </cell>
        </row>
        <row r="113">
          <cell r="Q113" t="str">
            <v>中共枣阳市太平镇李岗小学支部委员会</v>
          </cell>
        </row>
        <row r="113">
          <cell r="V113" t="str">
            <v>已入库</v>
          </cell>
        </row>
        <row r="114">
          <cell r="C114" t="str">
            <v>男</v>
          </cell>
        </row>
        <row r="114">
          <cell r="E114" t="str">
            <v>汉族</v>
          </cell>
          <cell r="F114" t="str">
            <v>大专</v>
          </cell>
        </row>
        <row r="114">
          <cell r="K114" t="str">
            <v>退休人员</v>
          </cell>
        </row>
        <row r="114">
          <cell r="N114" t="str">
            <v>正式党员</v>
          </cell>
        </row>
        <row r="114">
          <cell r="Q114" t="str">
            <v>中共枣阳市太平镇李岗小学支部委员会</v>
          </cell>
        </row>
        <row r="114">
          <cell r="V114" t="str">
            <v>已入库</v>
          </cell>
        </row>
        <row r="115">
          <cell r="C115" t="str">
            <v>女</v>
          </cell>
        </row>
        <row r="115">
          <cell r="E115" t="str">
            <v>汉族</v>
          </cell>
          <cell r="F115" t="str">
            <v>大专</v>
          </cell>
        </row>
        <row r="115">
          <cell r="K115" t="str">
            <v>退休人员</v>
          </cell>
        </row>
        <row r="115">
          <cell r="N115" t="str">
            <v>正式党员</v>
          </cell>
        </row>
        <row r="115">
          <cell r="Q115" t="str">
            <v>中共枣阳市太平镇李岗小学支部委员会</v>
          </cell>
        </row>
        <row r="115">
          <cell r="V115" t="str">
            <v>已入库</v>
          </cell>
        </row>
        <row r="116">
          <cell r="C116" t="str">
            <v>女</v>
          </cell>
        </row>
        <row r="116">
          <cell r="E116" t="str">
            <v>汉族</v>
          </cell>
          <cell r="F116" t="str">
            <v>大学</v>
          </cell>
        </row>
        <row r="116">
          <cell r="K116" t="str">
            <v>事业单位专业技术岗位</v>
          </cell>
        </row>
        <row r="116">
          <cell r="N116" t="str">
            <v>正式党员</v>
          </cell>
        </row>
        <row r="116">
          <cell r="Q116" t="str">
            <v>中共枣阳市太平镇李岗小学支部委员会</v>
          </cell>
        </row>
        <row r="116">
          <cell r="V116" t="str">
            <v>已入库</v>
          </cell>
        </row>
        <row r="117">
          <cell r="C117" t="str">
            <v>女</v>
          </cell>
        </row>
        <row r="117">
          <cell r="E117" t="str">
            <v>汉族</v>
          </cell>
          <cell r="F117" t="str">
            <v>大学</v>
          </cell>
        </row>
        <row r="117">
          <cell r="K117" t="str">
            <v>事业单位专业技术岗位</v>
          </cell>
        </row>
        <row r="117">
          <cell r="N117" t="str">
            <v>正式党员</v>
          </cell>
        </row>
        <row r="117">
          <cell r="Q117" t="str">
            <v>中共枣阳市太平镇李岗小学支部委员会</v>
          </cell>
        </row>
        <row r="117">
          <cell r="V117" t="str">
            <v>已入库</v>
          </cell>
        </row>
        <row r="118">
          <cell r="C118" t="str">
            <v>男</v>
          </cell>
        </row>
        <row r="118">
          <cell r="E118" t="str">
            <v>汉族</v>
          </cell>
          <cell r="F118" t="str">
            <v>大学</v>
          </cell>
        </row>
        <row r="118">
          <cell r="K118" t="str">
            <v>退休人员</v>
          </cell>
        </row>
        <row r="118">
          <cell r="N118" t="str">
            <v>正式党员</v>
          </cell>
        </row>
        <row r="118">
          <cell r="Q118" t="str">
            <v>中共枣阳市太平镇湖河小学支部委员会</v>
          </cell>
        </row>
        <row r="118">
          <cell r="V118" t="str">
            <v>已入库</v>
          </cell>
        </row>
        <row r="119">
          <cell r="C119" t="str">
            <v>女</v>
          </cell>
        </row>
        <row r="119">
          <cell r="E119" t="str">
            <v>汉族</v>
          </cell>
          <cell r="F119" t="str">
            <v>中专</v>
          </cell>
        </row>
        <row r="119">
          <cell r="K119" t="str">
            <v>退休人员</v>
          </cell>
        </row>
        <row r="119">
          <cell r="N119" t="str">
            <v>正式党员</v>
          </cell>
        </row>
        <row r="119">
          <cell r="Q119" t="str">
            <v>中共枣阳市太平镇湖河小学支部委员会</v>
          </cell>
        </row>
        <row r="119">
          <cell r="V119" t="str">
            <v>已入库</v>
          </cell>
        </row>
        <row r="120">
          <cell r="C120" t="str">
            <v>男</v>
          </cell>
        </row>
        <row r="120">
          <cell r="E120" t="str">
            <v>汉族</v>
          </cell>
          <cell r="F120" t="str">
            <v>中专</v>
          </cell>
        </row>
        <row r="120">
          <cell r="K120" t="str">
            <v>退休人员</v>
          </cell>
        </row>
        <row r="120">
          <cell r="N120" t="str">
            <v>正式党员</v>
          </cell>
        </row>
        <row r="120">
          <cell r="Q120" t="str">
            <v>中共枣阳市太平镇湖河小学支部委员会</v>
          </cell>
        </row>
        <row r="120">
          <cell r="V120" t="str">
            <v>已入库</v>
          </cell>
        </row>
        <row r="121">
          <cell r="C121" t="str">
            <v>女</v>
          </cell>
        </row>
        <row r="121">
          <cell r="E121" t="str">
            <v>汉族</v>
          </cell>
          <cell r="F121" t="str">
            <v>大学</v>
          </cell>
        </row>
        <row r="121">
          <cell r="K121" t="str">
            <v>退休人员</v>
          </cell>
        </row>
        <row r="121">
          <cell r="N121" t="str">
            <v>正式党员</v>
          </cell>
        </row>
        <row r="121">
          <cell r="Q121" t="str">
            <v>中共枣阳市太平镇湖河小学支部委员会</v>
          </cell>
        </row>
        <row r="121">
          <cell r="V121" t="str">
            <v>已入库</v>
          </cell>
        </row>
        <row r="122">
          <cell r="C122" t="str">
            <v>男</v>
          </cell>
        </row>
        <row r="122">
          <cell r="E122" t="str">
            <v>汉族</v>
          </cell>
          <cell r="F122" t="str">
            <v>大学</v>
          </cell>
        </row>
        <row r="122">
          <cell r="K122" t="str">
            <v>事业单位专业技术岗位</v>
          </cell>
        </row>
        <row r="122">
          <cell r="N122" t="str">
            <v>正式党员</v>
          </cell>
        </row>
        <row r="122">
          <cell r="Q122" t="str">
            <v>中共枣阳市太平镇湖河小学支部委员会</v>
          </cell>
        </row>
        <row r="122">
          <cell r="V122" t="str">
            <v>已入库</v>
          </cell>
        </row>
        <row r="123">
          <cell r="C123" t="str">
            <v>男</v>
          </cell>
        </row>
        <row r="123">
          <cell r="E123" t="str">
            <v>汉族</v>
          </cell>
          <cell r="F123" t="str">
            <v>大专</v>
          </cell>
        </row>
        <row r="123">
          <cell r="K123" t="str">
            <v>事业单位专业技术岗位</v>
          </cell>
        </row>
        <row r="123">
          <cell r="N123" t="str">
            <v>正式党员</v>
          </cell>
        </row>
        <row r="123">
          <cell r="Q123" t="str">
            <v>中共枣阳市太平镇湖河小学支部委员会</v>
          </cell>
        </row>
        <row r="123">
          <cell r="V123" t="str">
            <v>已入库</v>
          </cell>
        </row>
        <row r="124">
          <cell r="C124" t="str">
            <v>男</v>
          </cell>
        </row>
        <row r="124">
          <cell r="E124" t="str">
            <v>汉族</v>
          </cell>
          <cell r="F124" t="str">
            <v>大学</v>
          </cell>
        </row>
        <row r="124">
          <cell r="K124" t="str">
            <v>退休人员</v>
          </cell>
        </row>
        <row r="124">
          <cell r="N124" t="str">
            <v>正式党员</v>
          </cell>
        </row>
        <row r="124">
          <cell r="Q124" t="str">
            <v>中共枣阳市太平镇湖河小学支部委员会</v>
          </cell>
        </row>
        <row r="124">
          <cell r="V124" t="str">
            <v>已入库</v>
          </cell>
        </row>
        <row r="125">
          <cell r="C125" t="str">
            <v>男</v>
          </cell>
        </row>
        <row r="125">
          <cell r="E125" t="str">
            <v>汉族</v>
          </cell>
          <cell r="F125" t="str">
            <v>大专</v>
          </cell>
        </row>
        <row r="125">
          <cell r="K125" t="str">
            <v>事业单位专业技术岗位</v>
          </cell>
        </row>
        <row r="125">
          <cell r="N125" t="str">
            <v>正式党员</v>
          </cell>
        </row>
        <row r="125">
          <cell r="Q125" t="str">
            <v>中共枣阳市太平镇湖河小学支部委员会</v>
          </cell>
        </row>
        <row r="125">
          <cell r="V125" t="str">
            <v>已入库</v>
          </cell>
        </row>
        <row r="126">
          <cell r="C126" t="str">
            <v>女</v>
          </cell>
        </row>
        <row r="126">
          <cell r="E126" t="str">
            <v>汉族</v>
          </cell>
          <cell r="F126" t="str">
            <v>中专</v>
          </cell>
        </row>
        <row r="126">
          <cell r="K126" t="str">
            <v>退休人员</v>
          </cell>
        </row>
        <row r="126">
          <cell r="N126" t="str">
            <v>正式党员</v>
          </cell>
        </row>
        <row r="126">
          <cell r="Q126" t="str">
            <v>中共枣阳市太平镇湖河小学支部委员会</v>
          </cell>
        </row>
        <row r="126">
          <cell r="V126" t="str">
            <v>已入库</v>
          </cell>
        </row>
        <row r="127">
          <cell r="C127" t="str">
            <v>女</v>
          </cell>
        </row>
        <row r="127">
          <cell r="E127" t="str">
            <v>汉族</v>
          </cell>
          <cell r="F127" t="str">
            <v>中专</v>
          </cell>
        </row>
        <row r="127">
          <cell r="K127" t="str">
            <v>退休人员</v>
          </cell>
        </row>
        <row r="127">
          <cell r="N127" t="str">
            <v>正式党员</v>
          </cell>
        </row>
        <row r="127">
          <cell r="Q127" t="str">
            <v>中共枣阳市太平镇湖河小学支部委员会</v>
          </cell>
        </row>
        <row r="127">
          <cell r="V127" t="str">
            <v>已入库</v>
          </cell>
        </row>
        <row r="128">
          <cell r="C128" t="str">
            <v>男</v>
          </cell>
        </row>
        <row r="128">
          <cell r="E128" t="str">
            <v>汉族</v>
          </cell>
          <cell r="F128" t="str">
            <v>大学</v>
          </cell>
        </row>
        <row r="128">
          <cell r="K128" t="str">
            <v>事业单位专业技术岗位</v>
          </cell>
        </row>
        <row r="128">
          <cell r="N128" t="str">
            <v>正式党员</v>
          </cell>
        </row>
        <row r="128">
          <cell r="Q128" t="str">
            <v>中共枣阳市太平镇湖河小学支部委员会</v>
          </cell>
        </row>
        <row r="128">
          <cell r="V128" t="str">
            <v>已入库</v>
          </cell>
        </row>
        <row r="129">
          <cell r="C129" t="str">
            <v>女</v>
          </cell>
        </row>
        <row r="129">
          <cell r="E129" t="str">
            <v>汉族</v>
          </cell>
          <cell r="F129" t="str">
            <v>大学</v>
          </cell>
        </row>
        <row r="129">
          <cell r="K129" t="str">
            <v>事业单位专业技术岗位</v>
          </cell>
        </row>
        <row r="129">
          <cell r="N129" t="str">
            <v>正式党员</v>
          </cell>
        </row>
        <row r="129">
          <cell r="Q129" t="str">
            <v>中共枣阳市太平镇湖河小学支部委员会</v>
          </cell>
        </row>
        <row r="129">
          <cell r="V129" t="str">
            <v>已入库</v>
          </cell>
        </row>
        <row r="130">
          <cell r="C130" t="str">
            <v>男</v>
          </cell>
        </row>
        <row r="130">
          <cell r="E130" t="str">
            <v>汉族</v>
          </cell>
          <cell r="F130" t="str">
            <v>大专</v>
          </cell>
        </row>
        <row r="130">
          <cell r="K130" t="str">
            <v>事业单位专业技术岗位</v>
          </cell>
        </row>
        <row r="130">
          <cell r="N130" t="str">
            <v>正式党员</v>
          </cell>
        </row>
        <row r="130">
          <cell r="Q130" t="str">
            <v>中共枣阳市太平镇湖河小学支部委员会</v>
          </cell>
        </row>
        <row r="130">
          <cell r="V130" t="str">
            <v>已入库</v>
          </cell>
        </row>
        <row r="131">
          <cell r="C131" t="str">
            <v>女</v>
          </cell>
        </row>
        <row r="131">
          <cell r="E131" t="str">
            <v>汉族</v>
          </cell>
          <cell r="F131" t="str">
            <v>大学</v>
          </cell>
        </row>
        <row r="131">
          <cell r="K131" t="str">
            <v>事业单位专业技术岗位</v>
          </cell>
        </row>
        <row r="131">
          <cell r="N131" t="str">
            <v>正式党员</v>
          </cell>
        </row>
        <row r="131">
          <cell r="Q131" t="str">
            <v>中共枣阳市太平镇湖河小学支部委员会</v>
          </cell>
        </row>
        <row r="131">
          <cell r="V131" t="str">
            <v>已入库</v>
          </cell>
        </row>
        <row r="132">
          <cell r="C132" t="str">
            <v>男</v>
          </cell>
        </row>
        <row r="132">
          <cell r="E132" t="str">
            <v>汉族</v>
          </cell>
          <cell r="F132" t="str">
            <v>大学</v>
          </cell>
        </row>
        <row r="132">
          <cell r="K132" t="str">
            <v>退休人员</v>
          </cell>
        </row>
        <row r="132">
          <cell r="N132" t="str">
            <v>正式党员</v>
          </cell>
        </row>
        <row r="132">
          <cell r="Q132" t="str">
            <v>中共枣阳市太平镇第一初级中学支部委员会</v>
          </cell>
        </row>
        <row r="132">
          <cell r="V132" t="str">
            <v>已入库</v>
          </cell>
        </row>
        <row r="133">
          <cell r="C133" t="str">
            <v>男</v>
          </cell>
        </row>
        <row r="133">
          <cell r="E133" t="str">
            <v>汉族</v>
          </cell>
          <cell r="F133" t="str">
            <v>大学</v>
          </cell>
        </row>
        <row r="133">
          <cell r="K133" t="str">
            <v>退休人员</v>
          </cell>
        </row>
        <row r="133">
          <cell r="N133" t="str">
            <v>正式党员</v>
          </cell>
        </row>
        <row r="133">
          <cell r="Q133" t="str">
            <v>中共枣阳市太平镇第一初级中学支部委员会</v>
          </cell>
        </row>
        <row r="133">
          <cell r="V133" t="str">
            <v>已入库</v>
          </cell>
        </row>
        <row r="134">
          <cell r="C134" t="str">
            <v>男</v>
          </cell>
        </row>
        <row r="134">
          <cell r="E134" t="str">
            <v>汉族</v>
          </cell>
          <cell r="F134" t="str">
            <v>大学</v>
          </cell>
        </row>
        <row r="134">
          <cell r="K134" t="str">
            <v>其他无业人员</v>
          </cell>
        </row>
        <row r="134">
          <cell r="N134" t="str">
            <v>正式党员</v>
          </cell>
        </row>
        <row r="134">
          <cell r="Q134" t="str">
            <v>中共枣阳市太平镇第一初级中学支部委员会</v>
          </cell>
        </row>
        <row r="134">
          <cell r="V134" t="str">
            <v>已入库</v>
          </cell>
        </row>
        <row r="135">
          <cell r="C135" t="str">
            <v>男</v>
          </cell>
        </row>
        <row r="135">
          <cell r="E135" t="str">
            <v>汉族</v>
          </cell>
          <cell r="F135" t="str">
            <v>大学</v>
          </cell>
        </row>
        <row r="135">
          <cell r="K135" t="str">
            <v>退休人员</v>
          </cell>
        </row>
        <row r="135">
          <cell r="N135" t="str">
            <v>正式党员</v>
          </cell>
        </row>
        <row r="135">
          <cell r="Q135" t="str">
            <v>中共枣阳市太平镇第一初级中学支部委员会</v>
          </cell>
        </row>
        <row r="135">
          <cell r="V135" t="str">
            <v>已入库</v>
          </cell>
        </row>
        <row r="136">
          <cell r="C136" t="str">
            <v>男</v>
          </cell>
        </row>
        <row r="136">
          <cell r="E136" t="str">
            <v>汉族</v>
          </cell>
          <cell r="F136" t="str">
            <v>大学</v>
          </cell>
        </row>
        <row r="136">
          <cell r="K136" t="str">
            <v>事业单位专业技术岗位</v>
          </cell>
        </row>
        <row r="136">
          <cell r="N136" t="str">
            <v>正式党员</v>
          </cell>
        </row>
        <row r="136">
          <cell r="Q136" t="str">
            <v>中共枣阳市太平镇第一初级中学支部委员会</v>
          </cell>
        </row>
        <row r="136">
          <cell r="V136" t="str">
            <v>已入库</v>
          </cell>
        </row>
        <row r="137">
          <cell r="C137" t="str">
            <v>男</v>
          </cell>
        </row>
        <row r="137">
          <cell r="E137" t="str">
            <v>汉族</v>
          </cell>
          <cell r="F137" t="str">
            <v>大学</v>
          </cell>
        </row>
        <row r="137">
          <cell r="K137" t="str">
            <v>退休人员</v>
          </cell>
        </row>
        <row r="137">
          <cell r="N137" t="str">
            <v>正式党员</v>
          </cell>
        </row>
        <row r="137">
          <cell r="Q137" t="str">
            <v>中共枣阳市太平镇第一初级中学支部委员会</v>
          </cell>
        </row>
        <row r="137">
          <cell r="V137" t="str">
            <v>已入库</v>
          </cell>
        </row>
        <row r="138">
          <cell r="C138" t="str">
            <v>男</v>
          </cell>
        </row>
        <row r="138">
          <cell r="E138" t="str">
            <v>汉族</v>
          </cell>
          <cell r="F138" t="str">
            <v>大学</v>
          </cell>
        </row>
        <row r="138">
          <cell r="K138" t="str">
            <v>退休人员</v>
          </cell>
        </row>
        <row r="138">
          <cell r="N138" t="str">
            <v>正式党员</v>
          </cell>
        </row>
        <row r="138">
          <cell r="Q138" t="str">
            <v>中共枣阳市太平镇第一初级中学支部委员会</v>
          </cell>
        </row>
        <row r="138">
          <cell r="V138" t="str">
            <v>已入库</v>
          </cell>
        </row>
        <row r="139">
          <cell r="C139" t="str">
            <v>男</v>
          </cell>
        </row>
        <row r="139">
          <cell r="E139" t="str">
            <v>汉族</v>
          </cell>
          <cell r="F139" t="str">
            <v>大学</v>
          </cell>
        </row>
        <row r="139">
          <cell r="K139" t="str">
            <v>退休人员</v>
          </cell>
        </row>
        <row r="139">
          <cell r="N139" t="str">
            <v>正式党员</v>
          </cell>
        </row>
        <row r="139">
          <cell r="Q139" t="str">
            <v>中共枣阳市太平镇第一初级中学支部委员会</v>
          </cell>
        </row>
        <row r="139">
          <cell r="V139" t="str">
            <v>已入库</v>
          </cell>
        </row>
        <row r="140">
          <cell r="C140" t="str">
            <v>女</v>
          </cell>
        </row>
        <row r="140">
          <cell r="E140" t="str">
            <v>汉族</v>
          </cell>
          <cell r="F140" t="str">
            <v>高中</v>
          </cell>
        </row>
        <row r="140">
          <cell r="K140" t="str">
            <v>退休人员</v>
          </cell>
        </row>
        <row r="140">
          <cell r="N140" t="str">
            <v>正式党员</v>
          </cell>
        </row>
        <row r="140">
          <cell r="Q140" t="str">
            <v>中共枣阳市太平镇第一初级中学支部委员会</v>
          </cell>
        </row>
        <row r="140">
          <cell r="V140" t="str">
            <v>已入库</v>
          </cell>
        </row>
        <row r="141">
          <cell r="C141" t="str">
            <v>男</v>
          </cell>
        </row>
        <row r="141">
          <cell r="E141" t="str">
            <v>汉族</v>
          </cell>
          <cell r="F141" t="str">
            <v>大学</v>
          </cell>
        </row>
        <row r="141">
          <cell r="K141" t="str">
            <v>事业单位专业技术岗位</v>
          </cell>
        </row>
        <row r="141">
          <cell r="N141" t="str">
            <v>正式党员</v>
          </cell>
        </row>
        <row r="141">
          <cell r="Q141" t="str">
            <v>中共枣阳市太平镇第一初级中学支部委员会</v>
          </cell>
        </row>
        <row r="141">
          <cell r="V141" t="str">
            <v>已入库</v>
          </cell>
        </row>
        <row r="142">
          <cell r="C142" t="str">
            <v>男</v>
          </cell>
        </row>
        <row r="142">
          <cell r="E142" t="str">
            <v>汉族</v>
          </cell>
          <cell r="F142" t="str">
            <v>大学</v>
          </cell>
        </row>
        <row r="142">
          <cell r="K142" t="str">
            <v>事业单位专业技术岗位</v>
          </cell>
        </row>
        <row r="142">
          <cell r="N142" t="str">
            <v>正式党员</v>
          </cell>
        </row>
        <row r="142">
          <cell r="Q142" t="str">
            <v>中共枣阳市太平镇第一初级中学支部委员会</v>
          </cell>
        </row>
        <row r="142">
          <cell r="V142" t="str">
            <v>已入库</v>
          </cell>
        </row>
        <row r="143">
          <cell r="C143" t="str">
            <v>男</v>
          </cell>
        </row>
        <row r="143">
          <cell r="E143" t="str">
            <v>汉族</v>
          </cell>
          <cell r="F143" t="str">
            <v>大学</v>
          </cell>
        </row>
        <row r="143">
          <cell r="K143" t="str">
            <v>事业单位专业技术岗位</v>
          </cell>
        </row>
        <row r="143">
          <cell r="N143" t="str">
            <v>正式党员</v>
          </cell>
        </row>
        <row r="143">
          <cell r="Q143" t="str">
            <v>中共枣阳市太平镇第一初级中学支部委员会</v>
          </cell>
        </row>
        <row r="143">
          <cell r="V143" t="str">
            <v>已入库</v>
          </cell>
        </row>
        <row r="144">
          <cell r="C144" t="str">
            <v>男</v>
          </cell>
        </row>
        <row r="144">
          <cell r="E144" t="str">
            <v>汉族</v>
          </cell>
          <cell r="F144" t="str">
            <v>大学</v>
          </cell>
        </row>
        <row r="144">
          <cell r="K144" t="str">
            <v>事业单位专业技术岗位</v>
          </cell>
        </row>
        <row r="144">
          <cell r="N144" t="str">
            <v>正式党员</v>
          </cell>
        </row>
        <row r="144">
          <cell r="Q144" t="str">
            <v>中共枣阳市太平镇第一初级中学支部委员会</v>
          </cell>
        </row>
        <row r="144">
          <cell r="V144" t="str">
            <v>已入库</v>
          </cell>
        </row>
        <row r="145">
          <cell r="C145" t="str">
            <v>男</v>
          </cell>
        </row>
        <row r="145">
          <cell r="E145" t="str">
            <v>汉族</v>
          </cell>
          <cell r="F145" t="str">
            <v>大学</v>
          </cell>
        </row>
        <row r="145">
          <cell r="K145" t="str">
            <v>事业单位专业技术岗位</v>
          </cell>
        </row>
        <row r="145">
          <cell r="N145" t="str">
            <v>正式党员</v>
          </cell>
        </row>
        <row r="145">
          <cell r="Q145" t="str">
            <v>中共枣阳市太平镇第一初级中学支部委员会</v>
          </cell>
        </row>
        <row r="145">
          <cell r="V145" t="str">
            <v>已入库</v>
          </cell>
        </row>
        <row r="146">
          <cell r="C146" t="str">
            <v>男</v>
          </cell>
        </row>
        <row r="146">
          <cell r="E146" t="str">
            <v>汉族</v>
          </cell>
          <cell r="F146" t="str">
            <v>大学</v>
          </cell>
        </row>
        <row r="146">
          <cell r="K146" t="str">
            <v>事业单位专业技术岗位</v>
          </cell>
        </row>
        <row r="146">
          <cell r="N146" t="str">
            <v>正式党员</v>
          </cell>
        </row>
        <row r="146">
          <cell r="Q146" t="str">
            <v>中共枣阳市太平镇第一初级中学支部委员会</v>
          </cell>
        </row>
        <row r="146">
          <cell r="V146" t="str">
            <v>已入库</v>
          </cell>
        </row>
        <row r="147">
          <cell r="C147" t="str">
            <v>女</v>
          </cell>
        </row>
        <row r="147">
          <cell r="E147" t="str">
            <v>汉族</v>
          </cell>
          <cell r="F147" t="str">
            <v>大学</v>
          </cell>
        </row>
        <row r="147">
          <cell r="K147" t="str">
            <v>事业单位专业技术岗位</v>
          </cell>
        </row>
        <row r="147">
          <cell r="N147" t="str">
            <v>正式党员</v>
          </cell>
        </row>
        <row r="147">
          <cell r="Q147" t="str">
            <v>中共枣阳市太平镇第一初级中学支部委员会</v>
          </cell>
        </row>
        <row r="147">
          <cell r="V147" t="str">
            <v>已入库</v>
          </cell>
        </row>
        <row r="148">
          <cell r="C148" t="str">
            <v>男</v>
          </cell>
        </row>
        <row r="148">
          <cell r="E148" t="str">
            <v>汉族</v>
          </cell>
          <cell r="F148" t="str">
            <v>初中</v>
          </cell>
        </row>
        <row r="148">
          <cell r="K148" t="str">
            <v>退休人员</v>
          </cell>
        </row>
        <row r="148">
          <cell r="N148" t="str">
            <v>正式党员</v>
          </cell>
        </row>
        <row r="148">
          <cell r="Q148" t="str">
            <v>中共枣阳市太平镇第一初级中学支部委员会</v>
          </cell>
        </row>
        <row r="148">
          <cell r="V148" t="str">
            <v>已入库</v>
          </cell>
        </row>
        <row r="149">
          <cell r="C149" t="str">
            <v>男</v>
          </cell>
        </row>
        <row r="149">
          <cell r="E149" t="str">
            <v>汉族</v>
          </cell>
          <cell r="F149" t="str">
            <v>中专</v>
          </cell>
        </row>
        <row r="149">
          <cell r="K149" t="str">
            <v>退休人员</v>
          </cell>
        </row>
        <row r="149">
          <cell r="N149" t="str">
            <v>正式党员</v>
          </cell>
        </row>
        <row r="149">
          <cell r="Q149" t="str">
            <v>中共枣阳市太平镇第一初级中学支部委员会</v>
          </cell>
        </row>
        <row r="149">
          <cell r="V149" t="str">
            <v>已入库</v>
          </cell>
        </row>
        <row r="150">
          <cell r="C150" t="str">
            <v>男</v>
          </cell>
        </row>
        <row r="150">
          <cell r="E150" t="str">
            <v>汉族</v>
          </cell>
          <cell r="F150" t="str">
            <v>高中</v>
          </cell>
        </row>
        <row r="150">
          <cell r="K150" t="str">
            <v>退休人员</v>
          </cell>
        </row>
        <row r="150">
          <cell r="N150" t="str">
            <v>正式党员</v>
          </cell>
        </row>
        <row r="150">
          <cell r="Q150" t="str">
            <v>中共枣阳市太平镇第一初级中学支部委员会</v>
          </cell>
        </row>
        <row r="150">
          <cell r="V150" t="str">
            <v>已入库</v>
          </cell>
        </row>
        <row r="151">
          <cell r="C151" t="str">
            <v>男</v>
          </cell>
        </row>
        <row r="151">
          <cell r="E151" t="str">
            <v>汉族</v>
          </cell>
          <cell r="F151" t="str">
            <v>高中</v>
          </cell>
        </row>
        <row r="151">
          <cell r="K151" t="str">
            <v>退休人员</v>
          </cell>
        </row>
        <row r="151">
          <cell r="N151" t="str">
            <v>正式党员</v>
          </cell>
        </row>
        <row r="151">
          <cell r="Q151" t="str">
            <v>中共枣阳市太平镇第一初级中学支部委员会</v>
          </cell>
        </row>
        <row r="151">
          <cell r="V151" t="str">
            <v>已入库</v>
          </cell>
        </row>
        <row r="152">
          <cell r="C152" t="str">
            <v>男</v>
          </cell>
        </row>
        <row r="152">
          <cell r="E152" t="str">
            <v>汉族</v>
          </cell>
          <cell r="F152" t="str">
            <v>大学</v>
          </cell>
        </row>
        <row r="152">
          <cell r="K152" t="str">
            <v>事业单位专业技术岗位</v>
          </cell>
        </row>
        <row r="152">
          <cell r="N152" t="str">
            <v>正式党员</v>
          </cell>
        </row>
        <row r="152">
          <cell r="Q152" t="str">
            <v>中共枣阳市太平镇第一初级中学支部委员会</v>
          </cell>
        </row>
        <row r="152">
          <cell r="V152" t="str">
            <v>已入库</v>
          </cell>
        </row>
        <row r="153">
          <cell r="C153" t="str">
            <v>男</v>
          </cell>
        </row>
        <row r="153">
          <cell r="E153" t="str">
            <v>汉族</v>
          </cell>
          <cell r="F153" t="str">
            <v>大学</v>
          </cell>
        </row>
        <row r="153">
          <cell r="K153" t="str">
            <v>事业单位专业技术岗位</v>
          </cell>
        </row>
        <row r="153">
          <cell r="N153" t="str">
            <v>正式党员</v>
          </cell>
        </row>
        <row r="153">
          <cell r="Q153" t="str">
            <v>中共枣阳市太平镇第一初级中学支部委员会</v>
          </cell>
        </row>
        <row r="153">
          <cell r="V153" t="str">
            <v>已入库</v>
          </cell>
        </row>
        <row r="154">
          <cell r="C154" t="str">
            <v>女</v>
          </cell>
        </row>
        <row r="154">
          <cell r="E154" t="str">
            <v>汉族</v>
          </cell>
          <cell r="F154" t="str">
            <v>大学</v>
          </cell>
        </row>
        <row r="154">
          <cell r="K154" t="str">
            <v>事业单位专业技术岗位</v>
          </cell>
        </row>
        <row r="154">
          <cell r="N154" t="str">
            <v>正式党员</v>
          </cell>
        </row>
        <row r="154">
          <cell r="Q154" t="str">
            <v>中共枣阳市太平镇第一初级中学支部委员会</v>
          </cell>
        </row>
        <row r="154">
          <cell r="V154" t="str">
            <v>已入库</v>
          </cell>
        </row>
        <row r="155">
          <cell r="C155" t="str">
            <v>女</v>
          </cell>
        </row>
        <row r="155">
          <cell r="E155" t="str">
            <v>汉族</v>
          </cell>
          <cell r="F155" t="str">
            <v>大专</v>
          </cell>
        </row>
        <row r="155">
          <cell r="K155" t="str">
            <v>退休人员</v>
          </cell>
        </row>
        <row r="155">
          <cell r="N155" t="str">
            <v>正式党员</v>
          </cell>
        </row>
        <row r="155">
          <cell r="Q155" t="str">
            <v>中共枣阳市太平镇第一初级中学支部委员会</v>
          </cell>
        </row>
        <row r="155">
          <cell r="V155" t="str">
            <v>已入库</v>
          </cell>
        </row>
        <row r="156">
          <cell r="C156" t="str">
            <v>男</v>
          </cell>
        </row>
        <row r="156">
          <cell r="E156" t="str">
            <v>汉族</v>
          </cell>
          <cell r="F156" t="str">
            <v>大学</v>
          </cell>
        </row>
        <row r="156">
          <cell r="K156" t="str">
            <v>事业单位专业技术岗位</v>
          </cell>
        </row>
        <row r="156">
          <cell r="N156" t="str">
            <v>正式党员</v>
          </cell>
        </row>
        <row r="156">
          <cell r="Q156" t="str">
            <v>中共枣阳市太平镇第一初级中学支部委员会</v>
          </cell>
        </row>
        <row r="156">
          <cell r="V156" t="str">
            <v>已入库</v>
          </cell>
        </row>
        <row r="157">
          <cell r="C157" t="str">
            <v>男</v>
          </cell>
        </row>
        <row r="157">
          <cell r="E157" t="str">
            <v>汉族</v>
          </cell>
          <cell r="F157" t="str">
            <v>大学</v>
          </cell>
        </row>
        <row r="157">
          <cell r="K157" t="str">
            <v>事业单位专业技术岗位</v>
          </cell>
        </row>
        <row r="157">
          <cell r="N157" t="str">
            <v>正式党员</v>
          </cell>
        </row>
        <row r="157">
          <cell r="Q157" t="str">
            <v>中共枣阳市太平镇第一初级中学支部委员会</v>
          </cell>
        </row>
        <row r="157">
          <cell r="V157" t="str">
            <v>已入库</v>
          </cell>
        </row>
        <row r="158">
          <cell r="C158" t="str">
            <v>男</v>
          </cell>
        </row>
        <row r="158">
          <cell r="E158" t="str">
            <v>汉族</v>
          </cell>
          <cell r="F158" t="str">
            <v>大学</v>
          </cell>
        </row>
        <row r="158">
          <cell r="K158" t="str">
            <v>事业单位专业技术岗位</v>
          </cell>
        </row>
        <row r="158">
          <cell r="N158" t="str">
            <v>正式党员</v>
          </cell>
        </row>
        <row r="158">
          <cell r="Q158" t="str">
            <v>中共枣阳市太平镇第一初级中学支部委员会</v>
          </cell>
        </row>
        <row r="158">
          <cell r="V158" t="str">
            <v>已入库</v>
          </cell>
        </row>
        <row r="159">
          <cell r="C159" t="str">
            <v>男</v>
          </cell>
        </row>
        <row r="159">
          <cell r="E159" t="str">
            <v>汉族</v>
          </cell>
          <cell r="F159" t="str">
            <v>高中</v>
          </cell>
        </row>
        <row r="159">
          <cell r="K159" t="str">
            <v>退休人员</v>
          </cell>
        </row>
        <row r="159">
          <cell r="N159" t="str">
            <v>正式党员</v>
          </cell>
        </row>
        <row r="159">
          <cell r="Q159" t="str">
            <v>中共枣阳市太平镇第一初级中学支部委员会</v>
          </cell>
        </row>
        <row r="159">
          <cell r="V159" t="str">
            <v>已入库</v>
          </cell>
        </row>
        <row r="160">
          <cell r="C160" t="str">
            <v>男</v>
          </cell>
        </row>
        <row r="160">
          <cell r="E160" t="str">
            <v>汉族</v>
          </cell>
          <cell r="F160" t="str">
            <v>高中</v>
          </cell>
        </row>
        <row r="160">
          <cell r="K160" t="str">
            <v>退休人员</v>
          </cell>
        </row>
        <row r="160">
          <cell r="N160" t="str">
            <v>正式党员</v>
          </cell>
        </row>
        <row r="160">
          <cell r="Q160" t="str">
            <v>中共枣阳市太平镇第一初级中学支部委员会</v>
          </cell>
        </row>
        <row r="160">
          <cell r="V160" t="str">
            <v>已入库</v>
          </cell>
        </row>
        <row r="161">
          <cell r="C161" t="str">
            <v>男</v>
          </cell>
        </row>
        <row r="161">
          <cell r="E161" t="str">
            <v>汉族</v>
          </cell>
          <cell r="F161" t="str">
            <v>大学</v>
          </cell>
        </row>
        <row r="161">
          <cell r="K161" t="str">
            <v>事业单位专业技术岗位</v>
          </cell>
        </row>
        <row r="161">
          <cell r="N161" t="str">
            <v>正式党员</v>
          </cell>
        </row>
        <row r="161">
          <cell r="Q161" t="str">
            <v>中共枣阳市太平镇第一初级中学支部委员会</v>
          </cell>
        </row>
        <row r="161">
          <cell r="V161" t="str">
            <v>已入库</v>
          </cell>
        </row>
        <row r="162">
          <cell r="C162" t="str">
            <v>男</v>
          </cell>
        </row>
        <row r="162">
          <cell r="E162" t="str">
            <v>汉族</v>
          </cell>
          <cell r="F162" t="str">
            <v>大学</v>
          </cell>
        </row>
        <row r="162">
          <cell r="K162" t="str">
            <v>事业单位专业技术岗位</v>
          </cell>
        </row>
        <row r="162">
          <cell r="N162" t="str">
            <v>正式党员</v>
          </cell>
        </row>
        <row r="162">
          <cell r="Q162" t="str">
            <v>中共枣阳市太平镇第一初级中学支部委员会</v>
          </cell>
        </row>
        <row r="162">
          <cell r="V162" t="str">
            <v>已入库</v>
          </cell>
        </row>
        <row r="163">
          <cell r="C163" t="str">
            <v>女</v>
          </cell>
        </row>
        <row r="163">
          <cell r="E163" t="str">
            <v>汉族</v>
          </cell>
          <cell r="F163" t="str">
            <v>大学</v>
          </cell>
        </row>
        <row r="163">
          <cell r="K163" t="str">
            <v>其他无业人员</v>
          </cell>
        </row>
        <row r="163">
          <cell r="N163" t="str">
            <v>正式党员</v>
          </cell>
        </row>
        <row r="163">
          <cell r="Q163" t="str">
            <v>中共枣阳市太平镇第一初级中学支部委员会</v>
          </cell>
        </row>
        <row r="163">
          <cell r="V163" t="str">
            <v>已入库</v>
          </cell>
        </row>
        <row r="164">
          <cell r="C164" t="str">
            <v>男</v>
          </cell>
        </row>
        <row r="164">
          <cell r="E164" t="str">
            <v>汉族</v>
          </cell>
          <cell r="F164" t="str">
            <v>大专</v>
          </cell>
        </row>
        <row r="164">
          <cell r="K164" t="str">
            <v>事业单位管理岗位（含参照管理）</v>
          </cell>
        </row>
        <row r="164">
          <cell r="N164" t="str">
            <v>正式党员</v>
          </cell>
        </row>
        <row r="164">
          <cell r="Q164" t="str">
            <v>中共枣阳市太平镇第一初级中学支部委员会</v>
          </cell>
        </row>
        <row r="164">
          <cell r="V164" t="str">
            <v>已入库</v>
          </cell>
        </row>
        <row r="165">
          <cell r="C165" t="str">
            <v>男</v>
          </cell>
        </row>
        <row r="165">
          <cell r="E165" t="str">
            <v>汉族</v>
          </cell>
          <cell r="F165" t="str">
            <v>大学</v>
          </cell>
        </row>
        <row r="165">
          <cell r="K165" t="str">
            <v>事业单位专业技术岗位</v>
          </cell>
        </row>
        <row r="165">
          <cell r="N165" t="str">
            <v>正式党员</v>
          </cell>
        </row>
        <row r="165">
          <cell r="Q165" t="str">
            <v>中共枣阳市太平镇第一初级中学支部委员会</v>
          </cell>
        </row>
        <row r="165">
          <cell r="V165" t="str">
            <v>已入库</v>
          </cell>
        </row>
        <row r="166">
          <cell r="C166" t="str">
            <v>男</v>
          </cell>
        </row>
        <row r="166">
          <cell r="E166" t="str">
            <v>汉族</v>
          </cell>
          <cell r="F166" t="str">
            <v>大专</v>
          </cell>
        </row>
        <row r="166">
          <cell r="K166" t="str">
            <v>退休人员</v>
          </cell>
        </row>
        <row r="166">
          <cell r="N166" t="str">
            <v>正式党员</v>
          </cell>
        </row>
        <row r="166">
          <cell r="Q166" t="str">
            <v>中共枣阳市太平镇第三初级中学支部委员会</v>
          </cell>
        </row>
        <row r="166">
          <cell r="V166" t="str">
            <v>已入库</v>
          </cell>
        </row>
        <row r="167">
          <cell r="C167" t="str">
            <v>男</v>
          </cell>
        </row>
        <row r="167">
          <cell r="E167" t="str">
            <v>汉族</v>
          </cell>
          <cell r="F167" t="str">
            <v>大专</v>
          </cell>
        </row>
        <row r="167">
          <cell r="K167" t="str">
            <v>退休人员</v>
          </cell>
        </row>
        <row r="167">
          <cell r="N167" t="str">
            <v>正式党员</v>
          </cell>
        </row>
        <row r="167">
          <cell r="Q167" t="str">
            <v>中共枣阳市太平镇第三初级中学支部委员会</v>
          </cell>
        </row>
        <row r="167">
          <cell r="V167" t="str">
            <v>已入库</v>
          </cell>
        </row>
        <row r="168">
          <cell r="C168" t="str">
            <v>男</v>
          </cell>
        </row>
        <row r="168">
          <cell r="E168" t="str">
            <v>汉族</v>
          </cell>
          <cell r="F168" t="str">
            <v>大专</v>
          </cell>
        </row>
        <row r="168">
          <cell r="K168" t="str">
            <v>退休人员</v>
          </cell>
        </row>
        <row r="168">
          <cell r="N168" t="str">
            <v>正式党员</v>
          </cell>
        </row>
        <row r="168">
          <cell r="Q168" t="str">
            <v>中共枣阳市太平镇第三初级中学支部委员会</v>
          </cell>
        </row>
        <row r="168">
          <cell r="V168" t="str">
            <v>已入库</v>
          </cell>
        </row>
        <row r="169">
          <cell r="C169" t="str">
            <v>男</v>
          </cell>
        </row>
        <row r="169">
          <cell r="E169" t="str">
            <v>汉族</v>
          </cell>
          <cell r="F169" t="str">
            <v>大专</v>
          </cell>
        </row>
        <row r="169">
          <cell r="K169" t="str">
            <v>退休人员</v>
          </cell>
        </row>
        <row r="169">
          <cell r="N169" t="str">
            <v>正式党员</v>
          </cell>
        </row>
        <row r="169">
          <cell r="Q169" t="str">
            <v>中共枣阳市太平镇第三初级中学支部委员会</v>
          </cell>
        </row>
        <row r="169">
          <cell r="V169" t="str">
            <v>已入库</v>
          </cell>
        </row>
        <row r="170">
          <cell r="C170" t="str">
            <v>男</v>
          </cell>
        </row>
        <row r="170">
          <cell r="E170" t="str">
            <v>汉族</v>
          </cell>
          <cell r="F170" t="str">
            <v>大学</v>
          </cell>
        </row>
        <row r="170">
          <cell r="K170" t="str">
            <v>事业单位专业技术岗位</v>
          </cell>
        </row>
        <row r="170">
          <cell r="N170" t="str">
            <v>正式党员</v>
          </cell>
        </row>
        <row r="170">
          <cell r="Q170" t="str">
            <v>中共枣阳市太平镇第三初级中学支部委员会</v>
          </cell>
        </row>
        <row r="170">
          <cell r="V170" t="str">
            <v>已入库</v>
          </cell>
        </row>
        <row r="171">
          <cell r="C171" t="str">
            <v>男</v>
          </cell>
        </row>
        <row r="171">
          <cell r="E171" t="str">
            <v>汉族</v>
          </cell>
          <cell r="F171" t="str">
            <v>大专</v>
          </cell>
        </row>
        <row r="171">
          <cell r="K171" t="str">
            <v>事业单位专业技术岗位</v>
          </cell>
        </row>
        <row r="171">
          <cell r="N171" t="str">
            <v>正式党员</v>
          </cell>
        </row>
        <row r="171">
          <cell r="Q171" t="str">
            <v>中共枣阳市太平镇第三初级中学支部委员会</v>
          </cell>
        </row>
        <row r="171">
          <cell r="V171" t="str">
            <v>已入库</v>
          </cell>
        </row>
        <row r="172">
          <cell r="C172" t="str">
            <v>男</v>
          </cell>
        </row>
        <row r="172">
          <cell r="E172" t="str">
            <v>汉族</v>
          </cell>
          <cell r="F172" t="str">
            <v>中专</v>
          </cell>
        </row>
        <row r="172">
          <cell r="K172" t="str">
            <v>退休人员</v>
          </cell>
        </row>
        <row r="172">
          <cell r="N172" t="str">
            <v>正式党员</v>
          </cell>
        </row>
        <row r="172">
          <cell r="Q172" t="str">
            <v>中共枣阳市太平镇第三初级中学支部委员会</v>
          </cell>
        </row>
        <row r="172">
          <cell r="V172" t="str">
            <v>已入库</v>
          </cell>
        </row>
        <row r="173">
          <cell r="C173" t="str">
            <v>男</v>
          </cell>
        </row>
        <row r="173">
          <cell r="E173" t="str">
            <v>汉族</v>
          </cell>
          <cell r="F173" t="str">
            <v>大学</v>
          </cell>
        </row>
        <row r="173">
          <cell r="K173" t="str">
            <v>事业单位专业技术岗位</v>
          </cell>
        </row>
        <row r="173">
          <cell r="N173" t="str">
            <v>正式党员</v>
          </cell>
        </row>
        <row r="173">
          <cell r="Q173" t="str">
            <v>中共枣阳市太平镇第三初级中学支部委员会</v>
          </cell>
        </row>
        <row r="173">
          <cell r="V173" t="str">
            <v>已入库</v>
          </cell>
        </row>
        <row r="174">
          <cell r="C174" t="str">
            <v>男</v>
          </cell>
        </row>
        <row r="174">
          <cell r="E174" t="str">
            <v>汉族</v>
          </cell>
          <cell r="F174" t="str">
            <v>中专</v>
          </cell>
        </row>
        <row r="174">
          <cell r="K174" t="str">
            <v>退休人员</v>
          </cell>
        </row>
        <row r="174">
          <cell r="N174" t="str">
            <v>正式党员</v>
          </cell>
        </row>
        <row r="174">
          <cell r="Q174" t="str">
            <v>中共枣阳市太平镇第三初级中学支部委员会</v>
          </cell>
        </row>
        <row r="174">
          <cell r="V174" t="str">
            <v>已入库</v>
          </cell>
        </row>
        <row r="175">
          <cell r="C175" t="str">
            <v>男</v>
          </cell>
        </row>
        <row r="175">
          <cell r="E175" t="str">
            <v>汉族</v>
          </cell>
          <cell r="F175" t="str">
            <v>中专</v>
          </cell>
        </row>
        <row r="175">
          <cell r="K175" t="str">
            <v>退休人员</v>
          </cell>
        </row>
        <row r="175">
          <cell r="N175" t="str">
            <v>正式党员</v>
          </cell>
        </row>
        <row r="175">
          <cell r="Q175" t="str">
            <v>中共枣阳市太平镇第三初级中学支部委员会</v>
          </cell>
        </row>
        <row r="175">
          <cell r="V175" t="str">
            <v>已入库</v>
          </cell>
        </row>
        <row r="176">
          <cell r="C176" t="str">
            <v>女</v>
          </cell>
        </row>
        <row r="176">
          <cell r="E176" t="str">
            <v>汉族</v>
          </cell>
          <cell r="F176" t="str">
            <v>中专</v>
          </cell>
        </row>
        <row r="176">
          <cell r="K176" t="str">
            <v>退休人员</v>
          </cell>
        </row>
        <row r="176">
          <cell r="N176" t="str">
            <v>正式党员</v>
          </cell>
        </row>
        <row r="176">
          <cell r="Q176" t="str">
            <v>中共枣阳市太平镇第三初级中学支部委员会</v>
          </cell>
        </row>
        <row r="176">
          <cell r="V176" t="str">
            <v>已入库</v>
          </cell>
        </row>
        <row r="177">
          <cell r="C177" t="str">
            <v>男</v>
          </cell>
        </row>
        <row r="177">
          <cell r="E177" t="str">
            <v>汉族</v>
          </cell>
          <cell r="F177" t="str">
            <v>中专</v>
          </cell>
        </row>
        <row r="177">
          <cell r="K177" t="str">
            <v>退休人员</v>
          </cell>
        </row>
        <row r="177">
          <cell r="N177" t="str">
            <v>正式党员</v>
          </cell>
        </row>
        <row r="177">
          <cell r="Q177" t="str">
            <v>中共枣阳市太平镇第三初级中学支部委员会</v>
          </cell>
        </row>
        <row r="177">
          <cell r="V177" t="str">
            <v>已入库</v>
          </cell>
        </row>
        <row r="178">
          <cell r="C178" t="str">
            <v>男</v>
          </cell>
        </row>
        <row r="178">
          <cell r="E178" t="str">
            <v>汉族</v>
          </cell>
          <cell r="F178" t="str">
            <v>大学</v>
          </cell>
        </row>
        <row r="178">
          <cell r="K178" t="str">
            <v>事业单位专业技术岗位</v>
          </cell>
        </row>
        <row r="178">
          <cell r="N178" t="str">
            <v>正式党员</v>
          </cell>
        </row>
        <row r="178">
          <cell r="Q178" t="str">
            <v>中共枣阳市太平镇第三初级中学支部委员会</v>
          </cell>
        </row>
        <row r="178">
          <cell r="V178" t="str">
            <v>已入库</v>
          </cell>
        </row>
        <row r="179">
          <cell r="C179" t="str">
            <v>男</v>
          </cell>
        </row>
        <row r="179">
          <cell r="E179" t="str">
            <v>汉族</v>
          </cell>
          <cell r="F179" t="str">
            <v>大学</v>
          </cell>
        </row>
        <row r="179">
          <cell r="K179" t="str">
            <v>事业单位专业技术岗位</v>
          </cell>
        </row>
        <row r="179">
          <cell r="N179" t="str">
            <v>正式党员</v>
          </cell>
        </row>
        <row r="179">
          <cell r="Q179" t="str">
            <v>中共枣阳市太平镇第三初级中学支部委员会</v>
          </cell>
        </row>
        <row r="179">
          <cell r="V179" t="str">
            <v>已入库</v>
          </cell>
        </row>
        <row r="180">
          <cell r="C180" t="str">
            <v>男</v>
          </cell>
        </row>
        <row r="180">
          <cell r="E180" t="str">
            <v>汉族</v>
          </cell>
          <cell r="F180" t="str">
            <v>中专</v>
          </cell>
        </row>
        <row r="180">
          <cell r="K180" t="str">
            <v>退休人员</v>
          </cell>
        </row>
        <row r="180">
          <cell r="N180" t="str">
            <v>正式党员</v>
          </cell>
        </row>
        <row r="180">
          <cell r="Q180" t="str">
            <v>中共枣阳市太平镇第三初级中学支部委员会</v>
          </cell>
        </row>
        <row r="180">
          <cell r="V180" t="str">
            <v>已入库</v>
          </cell>
        </row>
        <row r="181">
          <cell r="C181" t="str">
            <v>男</v>
          </cell>
        </row>
        <row r="181">
          <cell r="E181" t="str">
            <v>汉族</v>
          </cell>
          <cell r="F181" t="str">
            <v>中专</v>
          </cell>
        </row>
        <row r="181">
          <cell r="K181" t="str">
            <v>退休人员</v>
          </cell>
        </row>
        <row r="181">
          <cell r="N181" t="str">
            <v>正式党员</v>
          </cell>
        </row>
        <row r="181">
          <cell r="Q181" t="str">
            <v>中共枣阳市太平镇第三初级中学支部委员会</v>
          </cell>
        </row>
        <row r="181">
          <cell r="V181" t="str">
            <v>已入库</v>
          </cell>
        </row>
        <row r="182">
          <cell r="C182" t="str">
            <v>男</v>
          </cell>
        </row>
        <row r="182">
          <cell r="E182" t="str">
            <v>汉族</v>
          </cell>
          <cell r="F182" t="str">
            <v>大学</v>
          </cell>
        </row>
        <row r="182">
          <cell r="K182" t="str">
            <v>事业单位专业技术岗位</v>
          </cell>
        </row>
        <row r="182">
          <cell r="N182" t="str">
            <v>正式党员</v>
          </cell>
        </row>
        <row r="182">
          <cell r="Q182" t="str">
            <v>中共枣阳市太平镇第三初级中学支部委员会</v>
          </cell>
        </row>
        <row r="182">
          <cell r="V182" t="str">
            <v>已入库</v>
          </cell>
        </row>
        <row r="183">
          <cell r="C183" t="str">
            <v>女</v>
          </cell>
        </row>
        <row r="183">
          <cell r="E183" t="str">
            <v>汉族</v>
          </cell>
          <cell r="F183" t="str">
            <v>中专</v>
          </cell>
        </row>
        <row r="183">
          <cell r="K183" t="str">
            <v>退休人员</v>
          </cell>
        </row>
        <row r="183">
          <cell r="N183" t="str">
            <v>正式党员</v>
          </cell>
        </row>
        <row r="183">
          <cell r="Q183" t="str">
            <v>中共枣阳市太平镇第三初级中学支部委员会</v>
          </cell>
        </row>
        <row r="183">
          <cell r="V183" t="str">
            <v>已入库</v>
          </cell>
        </row>
        <row r="184">
          <cell r="C184" t="str">
            <v>男</v>
          </cell>
        </row>
        <row r="184">
          <cell r="E184" t="str">
            <v>汉族</v>
          </cell>
          <cell r="F184" t="str">
            <v>大学</v>
          </cell>
        </row>
        <row r="184">
          <cell r="K184" t="str">
            <v>事业单位专业技术岗位</v>
          </cell>
        </row>
        <row r="184">
          <cell r="N184" t="str">
            <v>正式党员</v>
          </cell>
        </row>
        <row r="184">
          <cell r="Q184" t="str">
            <v>中共枣阳市太平镇第三初级中学支部委员会</v>
          </cell>
        </row>
        <row r="184">
          <cell r="V184" t="str">
            <v>已入库</v>
          </cell>
        </row>
        <row r="185">
          <cell r="C185" t="str">
            <v>男</v>
          </cell>
        </row>
        <row r="185">
          <cell r="E185" t="str">
            <v>汉族</v>
          </cell>
          <cell r="F185" t="str">
            <v>大学</v>
          </cell>
        </row>
        <row r="185">
          <cell r="K185" t="str">
            <v>事业单位专业技术岗位</v>
          </cell>
        </row>
        <row r="185">
          <cell r="N185" t="str">
            <v>正式党员</v>
          </cell>
        </row>
        <row r="185">
          <cell r="Q185" t="str">
            <v>中共枣阳市太平镇第三初级中学支部委员会</v>
          </cell>
        </row>
        <row r="185">
          <cell r="V185" t="str">
            <v>已入库</v>
          </cell>
        </row>
        <row r="186">
          <cell r="C186" t="str">
            <v>男</v>
          </cell>
        </row>
        <row r="186">
          <cell r="E186" t="str">
            <v>汉族</v>
          </cell>
          <cell r="F186" t="str">
            <v>大专</v>
          </cell>
        </row>
        <row r="186">
          <cell r="K186" t="str">
            <v>退休人员</v>
          </cell>
        </row>
        <row r="186">
          <cell r="N186" t="str">
            <v>正式党员</v>
          </cell>
        </row>
        <row r="186">
          <cell r="Q186" t="str">
            <v>中共枣阳市太平镇第三初级中学支部委员会</v>
          </cell>
        </row>
        <row r="186">
          <cell r="V186" t="str">
            <v>已入库</v>
          </cell>
        </row>
        <row r="187">
          <cell r="C187" t="str">
            <v>男</v>
          </cell>
        </row>
        <row r="187">
          <cell r="E187" t="str">
            <v>汉族</v>
          </cell>
          <cell r="F187" t="str">
            <v>大学</v>
          </cell>
        </row>
        <row r="187">
          <cell r="K187" t="str">
            <v>事业单位专业技术岗位</v>
          </cell>
        </row>
        <row r="187">
          <cell r="N187" t="str">
            <v>正式党员</v>
          </cell>
        </row>
        <row r="187">
          <cell r="Q187" t="str">
            <v>中共枣阳市太平镇第三初级中学支部委员会</v>
          </cell>
        </row>
        <row r="187">
          <cell r="V187" t="str">
            <v>已入库</v>
          </cell>
        </row>
        <row r="188">
          <cell r="C188" t="str">
            <v>男</v>
          </cell>
        </row>
        <row r="188">
          <cell r="E188" t="str">
            <v>汉族</v>
          </cell>
          <cell r="F188" t="str">
            <v>大学</v>
          </cell>
        </row>
        <row r="188">
          <cell r="K188" t="str">
            <v>事业单位专业技术岗位</v>
          </cell>
        </row>
        <row r="188">
          <cell r="N188" t="str">
            <v>正式党员</v>
          </cell>
        </row>
        <row r="188">
          <cell r="Q188" t="str">
            <v>中共枣阳市太平镇第三初级中学支部委员会</v>
          </cell>
        </row>
        <row r="188">
          <cell r="V188" t="str">
            <v>已入库</v>
          </cell>
        </row>
        <row r="189">
          <cell r="C189" t="str">
            <v>男</v>
          </cell>
        </row>
        <row r="189">
          <cell r="E189" t="str">
            <v>汉族</v>
          </cell>
          <cell r="F189" t="str">
            <v>大学</v>
          </cell>
        </row>
        <row r="189">
          <cell r="K189" t="str">
            <v>事业单位专业技术岗位</v>
          </cell>
        </row>
        <row r="189">
          <cell r="N189" t="str">
            <v>正式党员</v>
          </cell>
        </row>
        <row r="189">
          <cell r="Q189" t="str">
            <v>中共枣阳市太平镇第三初级中学支部委员会</v>
          </cell>
        </row>
        <row r="189">
          <cell r="V189" t="str">
            <v>已入库</v>
          </cell>
        </row>
        <row r="190">
          <cell r="C190" t="str">
            <v>男</v>
          </cell>
        </row>
        <row r="190">
          <cell r="E190" t="str">
            <v>汉族</v>
          </cell>
          <cell r="F190" t="str">
            <v>大学</v>
          </cell>
        </row>
        <row r="190">
          <cell r="K190" t="str">
            <v>事业单位专业技术岗位</v>
          </cell>
        </row>
        <row r="190">
          <cell r="N190" t="str">
            <v>正式党员</v>
          </cell>
        </row>
        <row r="190">
          <cell r="Q190" t="str">
            <v>中共枣阳市太平镇第三初级中学支部委员会</v>
          </cell>
        </row>
        <row r="190">
          <cell r="V190" t="str">
            <v>已入库</v>
          </cell>
        </row>
        <row r="191">
          <cell r="C191" t="str">
            <v>男</v>
          </cell>
        </row>
        <row r="191">
          <cell r="E191" t="str">
            <v>汉族</v>
          </cell>
          <cell r="F191" t="str">
            <v>大专</v>
          </cell>
        </row>
        <row r="191">
          <cell r="K191" t="str">
            <v>退休人员</v>
          </cell>
        </row>
        <row r="191">
          <cell r="N191" t="str">
            <v>正式党员</v>
          </cell>
        </row>
        <row r="191">
          <cell r="Q191" t="str">
            <v>中共枣阳市太平镇第三初级中学支部委员会</v>
          </cell>
        </row>
        <row r="191">
          <cell r="V191" t="str">
            <v>已入库</v>
          </cell>
        </row>
        <row r="192">
          <cell r="C192" t="str">
            <v>男</v>
          </cell>
        </row>
        <row r="192">
          <cell r="E192" t="str">
            <v>汉族</v>
          </cell>
          <cell r="F192" t="str">
            <v>中专</v>
          </cell>
        </row>
        <row r="192">
          <cell r="K192" t="str">
            <v>退休人员</v>
          </cell>
        </row>
        <row r="192">
          <cell r="N192" t="str">
            <v>正式党员</v>
          </cell>
        </row>
        <row r="192">
          <cell r="Q192" t="str">
            <v>中共枣阳市太平镇第三初级中学支部委员会</v>
          </cell>
        </row>
        <row r="192">
          <cell r="V192" t="str">
            <v>已入库</v>
          </cell>
        </row>
        <row r="193">
          <cell r="C193" t="str">
            <v>男</v>
          </cell>
        </row>
        <row r="193">
          <cell r="E193" t="str">
            <v>汉族</v>
          </cell>
          <cell r="F193" t="str">
            <v>中专</v>
          </cell>
        </row>
        <row r="193">
          <cell r="K193" t="str">
            <v>退休人员</v>
          </cell>
        </row>
        <row r="193">
          <cell r="N193" t="str">
            <v>正式党员</v>
          </cell>
        </row>
        <row r="193">
          <cell r="Q193" t="str">
            <v>中共枣阳市太平镇第三初级中学支部委员会</v>
          </cell>
        </row>
        <row r="193">
          <cell r="V193" t="str">
            <v>已入库</v>
          </cell>
        </row>
        <row r="194">
          <cell r="C194" t="str">
            <v>男</v>
          </cell>
        </row>
        <row r="194">
          <cell r="E194" t="str">
            <v>汉族</v>
          </cell>
          <cell r="F194" t="str">
            <v>大专</v>
          </cell>
        </row>
        <row r="194">
          <cell r="K194" t="str">
            <v>事业单位专业技术岗位</v>
          </cell>
        </row>
        <row r="194">
          <cell r="N194" t="str">
            <v>正式党员</v>
          </cell>
        </row>
        <row r="194">
          <cell r="Q194" t="str">
            <v>中共枣阳市太平镇第三初级中学支部委员会</v>
          </cell>
        </row>
        <row r="194">
          <cell r="V194" t="str">
            <v>已入库</v>
          </cell>
        </row>
        <row r="195">
          <cell r="C195" t="str">
            <v>女</v>
          </cell>
        </row>
        <row r="195">
          <cell r="E195" t="str">
            <v>汉族</v>
          </cell>
          <cell r="F195" t="str">
            <v>高中</v>
          </cell>
        </row>
        <row r="195">
          <cell r="K195" t="str">
            <v>事业单位专业技术岗位</v>
          </cell>
        </row>
        <row r="195">
          <cell r="N195" t="str">
            <v>正式党员</v>
          </cell>
        </row>
        <row r="195">
          <cell r="Q195" t="str">
            <v>中共枣阳市太平镇第三初级中学支部委员会</v>
          </cell>
        </row>
        <row r="195">
          <cell r="V195" t="str">
            <v>已入库</v>
          </cell>
        </row>
        <row r="196">
          <cell r="C196" t="str">
            <v>男</v>
          </cell>
        </row>
        <row r="196">
          <cell r="E196" t="str">
            <v>汉族</v>
          </cell>
          <cell r="F196" t="str">
            <v>大学</v>
          </cell>
        </row>
        <row r="196">
          <cell r="K196" t="str">
            <v>事业单位专业技术岗位</v>
          </cell>
        </row>
        <row r="196">
          <cell r="N196" t="str">
            <v>正式党员</v>
          </cell>
        </row>
        <row r="196">
          <cell r="Q196" t="str">
            <v>中共枣阳市太平镇第三初级中学支部委员会</v>
          </cell>
        </row>
        <row r="196">
          <cell r="V196" t="str">
            <v>已入库</v>
          </cell>
        </row>
        <row r="197">
          <cell r="C197" t="str">
            <v>男</v>
          </cell>
        </row>
        <row r="197">
          <cell r="E197" t="str">
            <v>汉族</v>
          </cell>
          <cell r="F197" t="str">
            <v>大专</v>
          </cell>
        </row>
        <row r="197">
          <cell r="K197" t="str">
            <v>退休人员</v>
          </cell>
        </row>
        <row r="197">
          <cell r="N197" t="str">
            <v>正式党员</v>
          </cell>
        </row>
        <row r="197">
          <cell r="Q197" t="str">
            <v>中共枣阳市太平镇第三初级中学支部委员会</v>
          </cell>
        </row>
        <row r="197">
          <cell r="V197" t="str">
            <v>已入库</v>
          </cell>
        </row>
        <row r="198">
          <cell r="C198" t="str">
            <v>女</v>
          </cell>
        </row>
        <row r="198">
          <cell r="E198" t="str">
            <v>汉族</v>
          </cell>
          <cell r="F198" t="str">
            <v>大学</v>
          </cell>
        </row>
        <row r="198">
          <cell r="K198" t="str">
            <v>事业单位专业技术岗位</v>
          </cell>
        </row>
        <row r="198">
          <cell r="N198" t="str">
            <v>正式党员</v>
          </cell>
        </row>
        <row r="198">
          <cell r="Q198" t="str">
            <v>中共枣阳市太平镇第三初级中学支部委员会</v>
          </cell>
        </row>
        <row r="198">
          <cell r="V198" t="str">
            <v>已入库</v>
          </cell>
        </row>
        <row r="199">
          <cell r="C199" t="str">
            <v>男</v>
          </cell>
        </row>
        <row r="199">
          <cell r="E199" t="str">
            <v>汉族</v>
          </cell>
          <cell r="F199" t="str">
            <v>大学</v>
          </cell>
        </row>
        <row r="199">
          <cell r="K199" t="str">
            <v>事业单位专业技术岗位</v>
          </cell>
        </row>
        <row r="199">
          <cell r="N199" t="str">
            <v>正式党员</v>
          </cell>
        </row>
        <row r="199">
          <cell r="Q199" t="str">
            <v>中共枣阳市太平镇第二初级中学支部委员会</v>
          </cell>
        </row>
        <row r="199">
          <cell r="V199" t="str">
            <v>已入库</v>
          </cell>
        </row>
        <row r="200">
          <cell r="C200" t="str">
            <v>男</v>
          </cell>
        </row>
        <row r="200">
          <cell r="E200" t="str">
            <v>汉族</v>
          </cell>
          <cell r="F200" t="str">
            <v>大学</v>
          </cell>
        </row>
        <row r="200">
          <cell r="K200" t="str">
            <v>事业单位专业技术岗位</v>
          </cell>
        </row>
        <row r="200">
          <cell r="N200" t="str">
            <v>正式党员</v>
          </cell>
        </row>
        <row r="200">
          <cell r="Q200" t="str">
            <v>中共枣阳市太平镇第二初级中学支部委员会</v>
          </cell>
        </row>
        <row r="200">
          <cell r="V200" t="str">
            <v>已入库</v>
          </cell>
        </row>
        <row r="201">
          <cell r="C201" t="str">
            <v>男</v>
          </cell>
        </row>
        <row r="201">
          <cell r="E201" t="str">
            <v>汉族</v>
          </cell>
          <cell r="F201" t="str">
            <v>大学</v>
          </cell>
        </row>
        <row r="201">
          <cell r="K201" t="str">
            <v>事业单位专业技术岗位</v>
          </cell>
        </row>
        <row r="201">
          <cell r="N201" t="str">
            <v>正式党员</v>
          </cell>
        </row>
        <row r="201">
          <cell r="Q201" t="str">
            <v>中共枣阳市太平镇第二初级中学支部委员会</v>
          </cell>
        </row>
        <row r="201">
          <cell r="V201" t="str">
            <v>已入库</v>
          </cell>
        </row>
        <row r="202">
          <cell r="C202" t="str">
            <v>男</v>
          </cell>
        </row>
        <row r="202">
          <cell r="E202" t="str">
            <v>汉族</v>
          </cell>
          <cell r="F202" t="str">
            <v>大学</v>
          </cell>
        </row>
        <row r="202">
          <cell r="K202" t="str">
            <v>退休人员</v>
          </cell>
        </row>
        <row r="202">
          <cell r="N202" t="str">
            <v>正式党员</v>
          </cell>
        </row>
        <row r="202">
          <cell r="Q202" t="str">
            <v>中共枣阳市太平镇第二初级中学支部委员会</v>
          </cell>
        </row>
        <row r="202">
          <cell r="V202" t="str">
            <v>已入库</v>
          </cell>
        </row>
        <row r="203">
          <cell r="C203" t="str">
            <v>男</v>
          </cell>
        </row>
        <row r="203">
          <cell r="E203" t="str">
            <v>汉族</v>
          </cell>
          <cell r="F203" t="str">
            <v>大学</v>
          </cell>
        </row>
        <row r="203">
          <cell r="K203" t="str">
            <v>事业单位专业技术岗位</v>
          </cell>
        </row>
        <row r="203">
          <cell r="N203" t="str">
            <v>正式党员</v>
          </cell>
        </row>
        <row r="203">
          <cell r="Q203" t="str">
            <v>中共枣阳市太平镇第二初级中学支部委员会</v>
          </cell>
        </row>
        <row r="203">
          <cell r="V203" t="str">
            <v>已入库</v>
          </cell>
        </row>
        <row r="204">
          <cell r="C204" t="str">
            <v>女</v>
          </cell>
        </row>
        <row r="204">
          <cell r="E204" t="str">
            <v>汉族</v>
          </cell>
          <cell r="F204" t="str">
            <v>大学</v>
          </cell>
        </row>
        <row r="204">
          <cell r="K204" t="str">
            <v>事业单位专业技术岗位</v>
          </cell>
        </row>
        <row r="204">
          <cell r="N204" t="str">
            <v>正式党员</v>
          </cell>
        </row>
        <row r="204">
          <cell r="Q204" t="str">
            <v>中共枣阳市太平镇第二初级中学支部委员会</v>
          </cell>
        </row>
        <row r="204">
          <cell r="V204" t="str">
            <v>已入库</v>
          </cell>
        </row>
        <row r="205">
          <cell r="C205" t="str">
            <v>男</v>
          </cell>
        </row>
        <row r="205">
          <cell r="E205" t="str">
            <v>汉族</v>
          </cell>
          <cell r="F205" t="str">
            <v>大学</v>
          </cell>
        </row>
        <row r="205">
          <cell r="K205" t="str">
            <v>事业单位专业技术岗位</v>
          </cell>
        </row>
        <row r="205">
          <cell r="N205" t="str">
            <v>正式党员</v>
          </cell>
        </row>
        <row r="205">
          <cell r="Q205" t="str">
            <v>中共枣阳市太平镇第二初级中学支部委员会</v>
          </cell>
        </row>
        <row r="205">
          <cell r="V205" t="str">
            <v>已入库</v>
          </cell>
        </row>
        <row r="206">
          <cell r="C206" t="str">
            <v>男</v>
          </cell>
        </row>
        <row r="206">
          <cell r="E206" t="str">
            <v>汉族</v>
          </cell>
          <cell r="F206" t="str">
            <v>大专</v>
          </cell>
        </row>
        <row r="206">
          <cell r="K206" t="str">
            <v>退休人员</v>
          </cell>
        </row>
        <row r="206">
          <cell r="N206" t="str">
            <v>正式党员</v>
          </cell>
        </row>
        <row r="206">
          <cell r="Q206" t="str">
            <v>中共枣阳市太平镇第二初级中学支部委员会</v>
          </cell>
        </row>
        <row r="206">
          <cell r="V206" t="str">
            <v>已入库</v>
          </cell>
        </row>
        <row r="207">
          <cell r="C207" t="str">
            <v>男</v>
          </cell>
        </row>
        <row r="207">
          <cell r="E207" t="str">
            <v>汉族</v>
          </cell>
          <cell r="F207" t="str">
            <v>大学</v>
          </cell>
        </row>
        <row r="207">
          <cell r="K207" t="str">
            <v>事业单位专业技术岗位</v>
          </cell>
        </row>
        <row r="207">
          <cell r="N207" t="str">
            <v>正式党员</v>
          </cell>
        </row>
        <row r="207">
          <cell r="Q207" t="str">
            <v>中共枣阳市太平镇第二初级中学支部委员会</v>
          </cell>
        </row>
        <row r="207">
          <cell r="V207" t="str">
            <v>已入库</v>
          </cell>
        </row>
        <row r="208">
          <cell r="C208" t="str">
            <v>男</v>
          </cell>
        </row>
        <row r="208">
          <cell r="E208" t="str">
            <v>汉族</v>
          </cell>
          <cell r="F208" t="str">
            <v>大学</v>
          </cell>
        </row>
        <row r="208">
          <cell r="K208" t="str">
            <v>事业单位专业技术岗位</v>
          </cell>
        </row>
        <row r="208">
          <cell r="N208" t="str">
            <v>正式党员</v>
          </cell>
        </row>
        <row r="208">
          <cell r="Q208" t="str">
            <v>中共枣阳市太平镇第二初级中学支部委员会</v>
          </cell>
        </row>
        <row r="208">
          <cell r="V208" t="str">
            <v>已入库</v>
          </cell>
        </row>
        <row r="209">
          <cell r="C209" t="str">
            <v>男</v>
          </cell>
        </row>
        <row r="209">
          <cell r="E209" t="str">
            <v>汉族</v>
          </cell>
          <cell r="F209" t="str">
            <v>大学</v>
          </cell>
        </row>
        <row r="209">
          <cell r="K209" t="str">
            <v>事业单位专业技术岗位</v>
          </cell>
        </row>
        <row r="209">
          <cell r="N209" t="str">
            <v>正式党员</v>
          </cell>
        </row>
        <row r="209">
          <cell r="Q209" t="str">
            <v>中共枣阳市太平镇第二初级中学支部委员会</v>
          </cell>
        </row>
        <row r="209">
          <cell r="V209" t="str">
            <v>已入库</v>
          </cell>
        </row>
        <row r="210">
          <cell r="C210" t="str">
            <v>男</v>
          </cell>
        </row>
        <row r="210">
          <cell r="E210" t="str">
            <v>汉族</v>
          </cell>
          <cell r="F210" t="str">
            <v>大学</v>
          </cell>
        </row>
        <row r="210">
          <cell r="K210" t="str">
            <v>事业单位专业技术岗位</v>
          </cell>
        </row>
        <row r="210">
          <cell r="N210" t="str">
            <v>正式党员</v>
          </cell>
        </row>
        <row r="210">
          <cell r="Q210" t="str">
            <v>中共枣阳市太平镇第二初级中学支部委员会</v>
          </cell>
        </row>
        <row r="210">
          <cell r="V210" t="str">
            <v>已入库</v>
          </cell>
        </row>
        <row r="211">
          <cell r="C211" t="str">
            <v>男</v>
          </cell>
        </row>
        <row r="211">
          <cell r="E211" t="str">
            <v>汉族</v>
          </cell>
          <cell r="F211" t="str">
            <v>大专</v>
          </cell>
        </row>
        <row r="211">
          <cell r="K211" t="str">
            <v>退休人员</v>
          </cell>
        </row>
        <row r="211">
          <cell r="N211" t="str">
            <v>正式党员</v>
          </cell>
        </row>
        <row r="211">
          <cell r="Q211" t="str">
            <v>中共枣阳市太平镇第二初级中学支部委员会</v>
          </cell>
        </row>
        <row r="211">
          <cell r="V211" t="str">
            <v>已入库</v>
          </cell>
        </row>
        <row r="212">
          <cell r="C212" t="str">
            <v>男</v>
          </cell>
        </row>
        <row r="212">
          <cell r="E212" t="str">
            <v>汉族</v>
          </cell>
          <cell r="F212" t="str">
            <v>大学</v>
          </cell>
        </row>
        <row r="212">
          <cell r="K212" t="str">
            <v>其他无业人员</v>
          </cell>
        </row>
        <row r="212">
          <cell r="N212" t="str">
            <v>正式党员</v>
          </cell>
        </row>
        <row r="212">
          <cell r="Q212" t="str">
            <v>中共枣阳市太平镇第二初级中学支部委员会</v>
          </cell>
        </row>
        <row r="212">
          <cell r="V212" t="str">
            <v>已入库</v>
          </cell>
        </row>
        <row r="213">
          <cell r="C213" t="str">
            <v>男</v>
          </cell>
        </row>
        <row r="213">
          <cell r="E213" t="str">
            <v>汉族</v>
          </cell>
          <cell r="F213" t="str">
            <v>大学</v>
          </cell>
        </row>
        <row r="213">
          <cell r="K213" t="str">
            <v>事业单位专业技术岗位</v>
          </cell>
        </row>
        <row r="213">
          <cell r="N213" t="str">
            <v>正式党员</v>
          </cell>
        </row>
        <row r="213">
          <cell r="Q213" t="str">
            <v>中共枣阳市太平镇第二初级中学支部委员会</v>
          </cell>
        </row>
        <row r="213">
          <cell r="V213" t="str">
            <v>已入库</v>
          </cell>
        </row>
        <row r="214">
          <cell r="C214" t="str">
            <v>男</v>
          </cell>
        </row>
        <row r="214">
          <cell r="E214" t="str">
            <v>汉族</v>
          </cell>
          <cell r="F214" t="str">
            <v>大学</v>
          </cell>
        </row>
        <row r="214">
          <cell r="K214" t="str">
            <v>退休人员</v>
          </cell>
        </row>
        <row r="214">
          <cell r="N214" t="str">
            <v>正式党员</v>
          </cell>
        </row>
        <row r="214">
          <cell r="Q214" t="str">
            <v>中共枣阳市太平镇第二初级中学支部委员会</v>
          </cell>
        </row>
        <row r="214">
          <cell r="V214" t="str">
            <v>已入库</v>
          </cell>
        </row>
        <row r="215">
          <cell r="C215" t="str">
            <v>男</v>
          </cell>
        </row>
        <row r="215">
          <cell r="E215" t="str">
            <v>汉族</v>
          </cell>
          <cell r="F215" t="str">
            <v>大学</v>
          </cell>
        </row>
        <row r="215">
          <cell r="K215" t="str">
            <v>事业单位专业技术岗位</v>
          </cell>
        </row>
        <row r="215">
          <cell r="N215" t="str">
            <v>正式党员</v>
          </cell>
        </row>
        <row r="215">
          <cell r="Q215" t="str">
            <v>中共枣阳市太平镇第二初级中学支部委员会</v>
          </cell>
        </row>
        <row r="215">
          <cell r="V215" t="str">
            <v>已入库</v>
          </cell>
        </row>
        <row r="216">
          <cell r="C216" t="str">
            <v>男</v>
          </cell>
        </row>
        <row r="216">
          <cell r="E216" t="str">
            <v>汉族</v>
          </cell>
          <cell r="F216" t="str">
            <v>大学</v>
          </cell>
        </row>
        <row r="216">
          <cell r="K216" t="str">
            <v>事业单位专业技术岗位</v>
          </cell>
        </row>
        <row r="216">
          <cell r="N216" t="str">
            <v>正式党员</v>
          </cell>
        </row>
        <row r="216">
          <cell r="Q216" t="str">
            <v>中共枣阳市太平镇第二初级中学支部委员会</v>
          </cell>
        </row>
        <row r="216">
          <cell r="V216" t="str">
            <v>已入库</v>
          </cell>
        </row>
        <row r="217">
          <cell r="C217" t="str">
            <v>女</v>
          </cell>
        </row>
        <row r="217">
          <cell r="E217" t="str">
            <v>汉族</v>
          </cell>
          <cell r="F217" t="str">
            <v>大学</v>
          </cell>
        </row>
        <row r="217">
          <cell r="K217" t="str">
            <v>事业单位专业技术岗位</v>
          </cell>
        </row>
        <row r="217">
          <cell r="N217" t="str">
            <v>正式党员</v>
          </cell>
        </row>
        <row r="217">
          <cell r="Q217" t="str">
            <v>中共枣阳市太平镇第二初级中学支部委员会</v>
          </cell>
        </row>
        <row r="217">
          <cell r="V217" t="str">
            <v>已入库</v>
          </cell>
        </row>
        <row r="218">
          <cell r="C218" t="str">
            <v>女</v>
          </cell>
        </row>
        <row r="218">
          <cell r="E218" t="str">
            <v>汉族</v>
          </cell>
          <cell r="F218" t="str">
            <v>大学</v>
          </cell>
        </row>
        <row r="218">
          <cell r="K218" t="str">
            <v>事业单位专业技术岗位</v>
          </cell>
        </row>
        <row r="218">
          <cell r="N218" t="str">
            <v>正式党员</v>
          </cell>
        </row>
        <row r="218">
          <cell r="Q218" t="str">
            <v>中共枣阳市太平镇第二初级中学支部委员会</v>
          </cell>
        </row>
        <row r="218">
          <cell r="V218" t="str">
            <v>已入库</v>
          </cell>
        </row>
        <row r="219">
          <cell r="C219" t="str">
            <v>男</v>
          </cell>
        </row>
        <row r="219">
          <cell r="E219" t="str">
            <v>汉族</v>
          </cell>
          <cell r="F219" t="str">
            <v>大专</v>
          </cell>
        </row>
        <row r="219">
          <cell r="K219" t="str">
            <v>退休人员</v>
          </cell>
        </row>
        <row r="219">
          <cell r="N219" t="str">
            <v>正式党员</v>
          </cell>
        </row>
        <row r="219">
          <cell r="Q219" t="str">
            <v>中共枣阳市太平镇第二初级中学支部委员会</v>
          </cell>
        </row>
        <row r="219">
          <cell r="V219" t="str">
            <v>已入库</v>
          </cell>
        </row>
        <row r="220">
          <cell r="C220" t="str">
            <v>男</v>
          </cell>
        </row>
        <row r="220">
          <cell r="E220" t="str">
            <v>汉族</v>
          </cell>
          <cell r="F220" t="str">
            <v>大专</v>
          </cell>
        </row>
        <row r="220">
          <cell r="K220" t="str">
            <v>退休人员</v>
          </cell>
        </row>
        <row r="220">
          <cell r="N220" t="str">
            <v>正式党员</v>
          </cell>
        </row>
        <row r="220">
          <cell r="Q220" t="str">
            <v>中共枣阳市太平镇第二初级中学支部委员会</v>
          </cell>
        </row>
        <row r="220">
          <cell r="V220" t="str">
            <v>已入库</v>
          </cell>
        </row>
        <row r="221">
          <cell r="C221" t="str">
            <v>男</v>
          </cell>
        </row>
        <row r="221">
          <cell r="E221" t="str">
            <v>汉族</v>
          </cell>
          <cell r="F221" t="str">
            <v>大专</v>
          </cell>
        </row>
        <row r="221">
          <cell r="K221" t="str">
            <v>退休人员</v>
          </cell>
        </row>
        <row r="221">
          <cell r="N221" t="str">
            <v>正式党员</v>
          </cell>
        </row>
        <row r="221">
          <cell r="Q221" t="str">
            <v>中共枣阳市太平镇第二初级中学支部委员会</v>
          </cell>
        </row>
        <row r="221">
          <cell r="V221" t="str">
            <v>已入库</v>
          </cell>
        </row>
        <row r="222">
          <cell r="C222" t="str">
            <v>男</v>
          </cell>
        </row>
        <row r="222">
          <cell r="E222" t="str">
            <v>汉族</v>
          </cell>
          <cell r="F222" t="str">
            <v>大学</v>
          </cell>
        </row>
        <row r="222">
          <cell r="K222" t="str">
            <v>事业单位专业技术岗位</v>
          </cell>
        </row>
        <row r="222">
          <cell r="N222" t="str">
            <v>正式党员</v>
          </cell>
        </row>
        <row r="222">
          <cell r="Q222" t="str">
            <v>中共枣阳市太平镇第二初级中学支部委员会</v>
          </cell>
        </row>
        <row r="222">
          <cell r="V222" t="str">
            <v>已入库</v>
          </cell>
        </row>
        <row r="223">
          <cell r="C223" t="str">
            <v>女</v>
          </cell>
        </row>
        <row r="223">
          <cell r="E223" t="str">
            <v>土家族</v>
          </cell>
          <cell r="F223" t="str">
            <v>大学</v>
          </cell>
        </row>
        <row r="223">
          <cell r="K223" t="str">
            <v>事业单位专业技术岗位</v>
          </cell>
        </row>
        <row r="223">
          <cell r="N223" t="str">
            <v>正式党员</v>
          </cell>
        </row>
        <row r="223">
          <cell r="Q223" t="str">
            <v>中共枣阳市太平镇第二初级中学支部委员会</v>
          </cell>
        </row>
        <row r="223">
          <cell r="V223" t="str">
            <v>已入库</v>
          </cell>
        </row>
        <row r="224">
          <cell r="C224" t="str">
            <v>男</v>
          </cell>
        </row>
        <row r="224">
          <cell r="E224" t="str">
            <v>汉族</v>
          </cell>
          <cell r="F224" t="str">
            <v>大专</v>
          </cell>
        </row>
        <row r="224">
          <cell r="K224" t="str">
            <v>退休人员</v>
          </cell>
        </row>
        <row r="224">
          <cell r="N224" t="str">
            <v>正式党员</v>
          </cell>
        </row>
        <row r="224">
          <cell r="Q224" t="str">
            <v>中共枣阳市太平镇第二小学支部委员会</v>
          </cell>
        </row>
        <row r="224">
          <cell r="V224" t="str">
            <v>已入库</v>
          </cell>
        </row>
        <row r="225">
          <cell r="C225" t="str">
            <v>男</v>
          </cell>
        </row>
        <row r="225">
          <cell r="E225" t="str">
            <v>汉族</v>
          </cell>
          <cell r="F225" t="str">
            <v>大专</v>
          </cell>
        </row>
        <row r="225">
          <cell r="K225" t="str">
            <v>退休人员</v>
          </cell>
        </row>
        <row r="225">
          <cell r="N225" t="str">
            <v>正式党员</v>
          </cell>
        </row>
        <row r="225">
          <cell r="Q225" t="str">
            <v>中共枣阳市太平镇第二小学支部委员会</v>
          </cell>
        </row>
        <row r="225">
          <cell r="V225" t="str">
            <v>已入库</v>
          </cell>
        </row>
        <row r="226">
          <cell r="C226" t="str">
            <v>女</v>
          </cell>
        </row>
        <row r="226">
          <cell r="E226" t="str">
            <v>汉族</v>
          </cell>
          <cell r="F226" t="str">
            <v>大学</v>
          </cell>
        </row>
        <row r="226">
          <cell r="K226" t="str">
            <v>事业单位专业技术岗位</v>
          </cell>
        </row>
        <row r="226">
          <cell r="N226" t="str">
            <v>正式党员</v>
          </cell>
        </row>
        <row r="226">
          <cell r="Q226" t="str">
            <v>中共枣阳市太平镇第二小学支部委员会</v>
          </cell>
        </row>
        <row r="226">
          <cell r="V226" t="str">
            <v>已入库</v>
          </cell>
        </row>
        <row r="227">
          <cell r="C227" t="str">
            <v>男</v>
          </cell>
        </row>
        <row r="227">
          <cell r="E227" t="str">
            <v>汉族</v>
          </cell>
          <cell r="F227" t="str">
            <v>中专</v>
          </cell>
        </row>
        <row r="227">
          <cell r="K227" t="str">
            <v>退休人员</v>
          </cell>
        </row>
        <row r="227">
          <cell r="N227" t="str">
            <v>正式党员</v>
          </cell>
        </row>
        <row r="227">
          <cell r="Q227" t="str">
            <v>中共枣阳市太平镇第二小学支部委员会</v>
          </cell>
        </row>
        <row r="227">
          <cell r="V227" t="str">
            <v>已入库</v>
          </cell>
        </row>
        <row r="228">
          <cell r="C228" t="str">
            <v>男</v>
          </cell>
        </row>
        <row r="228">
          <cell r="E228" t="str">
            <v>汉族</v>
          </cell>
          <cell r="F228" t="str">
            <v>大专</v>
          </cell>
        </row>
        <row r="228">
          <cell r="K228" t="str">
            <v>退休人员</v>
          </cell>
        </row>
        <row r="228">
          <cell r="N228" t="str">
            <v>正式党员</v>
          </cell>
        </row>
        <row r="228">
          <cell r="Q228" t="str">
            <v>中共枣阳市太平镇第二小学支部委员会</v>
          </cell>
        </row>
        <row r="228">
          <cell r="V228" t="str">
            <v>已入库</v>
          </cell>
        </row>
        <row r="229">
          <cell r="C229" t="str">
            <v>男</v>
          </cell>
        </row>
        <row r="229">
          <cell r="E229" t="str">
            <v>汉族</v>
          </cell>
          <cell r="F229" t="str">
            <v>中专</v>
          </cell>
        </row>
        <row r="229">
          <cell r="K229" t="str">
            <v>退休人员</v>
          </cell>
        </row>
        <row r="229">
          <cell r="N229" t="str">
            <v>正式党员</v>
          </cell>
        </row>
        <row r="229">
          <cell r="Q229" t="str">
            <v>中共枣阳市太平镇第二小学支部委员会</v>
          </cell>
        </row>
        <row r="229">
          <cell r="V229" t="str">
            <v>已入库</v>
          </cell>
        </row>
        <row r="230">
          <cell r="C230" t="str">
            <v>女</v>
          </cell>
        </row>
        <row r="230">
          <cell r="E230" t="str">
            <v>汉族</v>
          </cell>
          <cell r="F230" t="str">
            <v>中专</v>
          </cell>
        </row>
        <row r="230">
          <cell r="K230" t="str">
            <v>退休人员</v>
          </cell>
        </row>
        <row r="230">
          <cell r="N230" t="str">
            <v>正式党员</v>
          </cell>
        </row>
        <row r="230">
          <cell r="Q230" t="str">
            <v>中共枣阳市太平镇第二小学支部委员会</v>
          </cell>
        </row>
        <row r="230">
          <cell r="V230" t="str">
            <v>已入库</v>
          </cell>
        </row>
        <row r="231">
          <cell r="C231" t="str">
            <v>男</v>
          </cell>
        </row>
        <row r="231">
          <cell r="E231" t="str">
            <v>汉族</v>
          </cell>
          <cell r="F231" t="str">
            <v>中专</v>
          </cell>
        </row>
        <row r="231">
          <cell r="K231" t="str">
            <v>退休人员</v>
          </cell>
        </row>
        <row r="231">
          <cell r="N231" t="str">
            <v>正式党员</v>
          </cell>
        </row>
        <row r="231">
          <cell r="Q231" t="str">
            <v>中共枣阳市太平镇第二小学支部委员会</v>
          </cell>
        </row>
        <row r="231">
          <cell r="V231" t="str">
            <v>已入库</v>
          </cell>
        </row>
        <row r="232">
          <cell r="C232" t="str">
            <v>男</v>
          </cell>
        </row>
        <row r="232">
          <cell r="E232" t="str">
            <v>汉族</v>
          </cell>
          <cell r="F232" t="str">
            <v>初中</v>
          </cell>
        </row>
        <row r="232">
          <cell r="K232" t="str">
            <v>退休人员</v>
          </cell>
        </row>
        <row r="232">
          <cell r="N232" t="str">
            <v>正式党员</v>
          </cell>
        </row>
        <row r="232">
          <cell r="Q232" t="str">
            <v>中共枣阳市太平镇第二小学支部委员会</v>
          </cell>
        </row>
        <row r="232">
          <cell r="V232" t="str">
            <v>已入库</v>
          </cell>
        </row>
        <row r="233">
          <cell r="C233" t="str">
            <v>男</v>
          </cell>
        </row>
        <row r="233">
          <cell r="E233" t="str">
            <v>汉族</v>
          </cell>
          <cell r="F233" t="str">
            <v>大专</v>
          </cell>
        </row>
        <row r="233">
          <cell r="K233" t="str">
            <v>退休人员</v>
          </cell>
        </row>
        <row r="233">
          <cell r="N233" t="str">
            <v>正式党员</v>
          </cell>
        </row>
        <row r="233">
          <cell r="Q233" t="str">
            <v>中共枣阳市太平镇第二小学支部委员会</v>
          </cell>
        </row>
        <row r="233">
          <cell r="V233" t="str">
            <v>已入库</v>
          </cell>
        </row>
        <row r="234">
          <cell r="C234" t="str">
            <v>女</v>
          </cell>
        </row>
        <row r="234">
          <cell r="E234" t="str">
            <v>汉族</v>
          </cell>
          <cell r="F234" t="str">
            <v>大学</v>
          </cell>
        </row>
        <row r="234">
          <cell r="K234" t="str">
            <v>事业单位专业技术岗位</v>
          </cell>
        </row>
        <row r="234">
          <cell r="N234" t="str">
            <v>正式党员</v>
          </cell>
        </row>
        <row r="234">
          <cell r="Q234" t="str">
            <v>中共枣阳市太平镇第二小学支部委员会</v>
          </cell>
        </row>
        <row r="234">
          <cell r="V234" t="str">
            <v>已入库</v>
          </cell>
        </row>
        <row r="235">
          <cell r="C235" t="str">
            <v>男</v>
          </cell>
        </row>
        <row r="235">
          <cell r="E235" t="str">
            <v>汉族</v>
          </cell>
          <cell r="F235" t="str">
            <v>中专</v>
          </cell>
        </row>
        <row r="235">
          <cell r="K235" t="str">
            <v>退休人员</v>
          </cell>
        </row>
        <row r="235">
          <cell r="N235" t="str">
            <v>正式党员</v>
          </cell>
        </row>
        <row r="235">
          <cell r="Q235" t="str">
            <v>中共枣阳市太平镇第二小学支部委员会</v>
          </cell>
        </row>
        <row r="235">
          <cell r="V235" t="str">
            <v>已入库</v>
          </cell>
        </row>
        <row r="236">
          <cell r="C236" t="str">
            <v>男</v>
          </cell>
        </row>
        <row r="236">
          <cell r="E236" t="str">
            <v>汉族</v>
          </cell>
          <cell r="F236" t="str">
            <v>大专</v>
          </cell>
        </row>
        <row r="236">
          <cell r="K236" t="str">
            <v>退休人员</v>
          </cell>
        </row>
        <row r="236">
          <cell r="N236" t="str">
            <v>正式党员</v>
          </cell>
        </row>
        <row r="236">
          <cell r="Q236" t="str">
            <v>中共枣阳市太平镇第二小学支部委员会</v>
          </cell>
        </row>
        <row r="236">
          <cell r="V236" t="str">
            <v>已入库</v>
          </cell>
        </row>
        <row r="237">
          <cell r="C237" t="str">
            <v>男</v>
          </cell>
        </row>
        <row r="237">
          <cell r="E237" t="str">
            <v>汉族</v>
          </cell>
          <cell r="F237" t="str">
            <v>中专</v>
          </cell>
        </row>
        <row r="237">
          <cell r="K237" t="str">
            <v>退休人员</v>
          </cell>
        </row>
        <row r="237">
          <cell r="N237" t="str">
            <v>正式党员</v>
          </cell>
        </row>
        <row r="237">
          <cell r="Q237" t="str">
            <v>中共枣阳市太平镇第二小学支部委员会</v>
          </cell>
        </row>
        <row r="237">
          <cell r="V237" t="str">
            <v>已入库</v>
          </cell>
        </row>
        <row r="238">
          <cell r="C238" t="str">
            <v>女</v>
          </cell>
        </row>
        <row r="238">
          <cell r="E238" t="str">
            <v>汉族</v>
          </cell>
          <cell r="F238" t="str">
            <v>大专</v>
          </cell>
        </row>
        <row r="238">
          <cell r="K238" t="str">
            <v>退休人员</v>
          </cell>
        </row>
        <row r="238">
          <cell r="N238" t="str">
            <v>正式党员</v>
          </cell>
        </row>
        <row r="238">
          <cell r="Q238" t="str">
            <v>中共枣阳市太平镇第二小学支部委员会</v>
          </cell>
        </row>
        <row r="238">
          <cell r="V238" t="str">
            <v>已入库</v>
          </cell>
        </row>
        <row r="239">
          <cell r="C239" t="str">
            <v>男</v>
          </cell>
        </row>
        <row r="239">
          <cell r="E239" t="str">
            <v>汉族</v>
          </cell>
          <cell r="F239" t="str">
            <v>中专</v>
          </cell>
        </row>
        <row r="239">
          <cell r="K239" t="str">
            <v>退休人员</v>
          </cell>
        </row>
        <row r="239">
          <cell r="N239" t="str">
            <v>正式党员</v>
          </cell>
        </row>
        <row r="239">
          <cell r="Q239" t="str">
            <v>中共枣阳市太平镇第二小学支部委员会</v>
          </cell>
        </row>
        <row r="239">
          <cell r="V239" t="str">
            <v>已入库</v>
          </cell>
        </row>
        <row r="240">
          <cell r="C240" t="str">
            <v>男</v>
          </cell>
        </row>
        <row r="240">
          <cell r="E240" t="str">
            <v>汉族</v>
          </cell>
          <cell r="F240" t="str">
            <v>中专</v>
          </cell>
        </row>
        <row r="240">
          <cell r="K240" t="str">
            <v>退休人员</v>
          </cell>
        </row>
        <row r="240">
          <cell r="N240" t="str">
            <v>正式党员</v>
          </cell>
        </row>
        <row r="240">
          <cell r="Q240" t="str">
            <v>中共枣阳市太平镇第二小学支部委员会</v>
          </cell>
        </row>
        <row r="240">
          <cell r="V240" t="str">
            <v>已入库</v>
          </cell>
        </row>
        <row r="241">
          <cell r="C241" t="str">
            <v>男</v>
          </cell>
        </row>
        <row r="241">
          <cell r="E241" t="str">
            <v>汉族</v>
          </cell>
          <cell r="F241" t="str">
            <v>大专</v>
          </cell>
        </row>
        <row r="241">
          <cell r="K241" t="str">
            <v>事业单位专业技术岗位</v>
          </cell>
        </row>
        <row r="241">
          <cell r="N241" t="str">
            <v>正式党员</v>
          </cell>
        </row>
        <row r="241">
          <cell r="Q241" t="str">
            <v>中共枣阳市太平镇第二小学支部委员会</v>
          </cell>
        </row>
        <row r="241">
          <cell r="V241" t="str">
            <v>已入库</v>
          </cell>
        </row>
        <row r="242">
          <cell r="C242" t="str">
            <v>男</v>
          </cell>
        </row>
        <row r="242">
          <cell r="E242" t="str">
            <v>汉族</v>
          </cell>
          <cell r="F242" t="str">
            <v>大专</v>
          </cell>
        </row>
        <row r="242">
          <cell r="K242" t="str">
            <v>退休人员</v>
          </cell>
        </row>
        <row r="242">
          <cell r="N242" t="str">
            <v>正式党员</v>
          </cell>
        </row>
        <row r="242">
          <cell r="Q242" t="str">
            <v>中共枣阳市太平镇第二小学支部委员会</v>
          </cell>
        </row>
        <row r="242">
          <cell r="V242" t="str">
            <v>已入库</v>
          </cell>
        </row>
        <row r="243">
          <cell r="C243" t="str">
            <v>女</v>
          </cell>
        </row>
        <row r="243">
          <cell r="E243" t="str">
            <v>汉族</v>
          </cell>
          <cell r="F243" t="str">
            <v>大学</v>
          </cell>
        </row>
        <row r="243">
          <cell r="K243" t="str">
            <v>事业单位专业技术岗位</v>
          </cell>
        </row>
        <row r="243">
          <cell r="N243" t="str">
            <v>正式党员</v>
          </cell>
        </row>
        <row r="243">
          <cell r="Q243" t="str">
            <v>中共枣阳市太平镇第二小学支部委员会</v>
          </cell>
        </row>
        <row r="243">
          <cell r="V243" t="str">
            <v>已入库</v>
          </cell>
        </row>
        <row r="244">
          <cell r="C244" t="str">
            <v>女</v>
          </cell>
        </row>
        <row r="244">
          <cell r="E244" t="str">
            <v>汉族</v>
          </cell>
          <cell r="F244" t="str">
            <v>中专</v>
          </cell>
        </row>
        <row r="244">
          <cell r="K244" t="str">
            <v>退休人员</v>
          </cell>
        </row>
        <row r="244">
          <cell r="N244" t="str">
            <v>正式党员</v>
          </cell>
        </row>
        <row r="244">
          <cell r="Q244" t="str">
            <v>中共枣阳市太平镇第二小学支部委员会</v>
          </cell>
        </row>
        <row r="244">
          <cell r="V244" t="str">
            <v>已入库</v>
          </cell>
        </row>
        <row r="245">
          <cell r="C245" t="str">
            <v>男</v>
          </cell>
        </row>
        <row r="245">
          <cell r="E245" t="str">
            <v>汉族</v>
          </cell>
          <cell r="F245" t="str">
            <v>高中</v>
          </cell>
        </row>
        <row r="245">
          <cell r="K245" t="str">
            <v>退休人员</v>
          </cell>
        </row>
        <row r="245">
          <cell r="N245" t="str">
            <v>正式党员</v>
          </cell>
        </row>
        <row r="245">
          <cell r="Q245" t="str">
            <v>中共枣阳市太平镇第二小学支部委员会</v>
          </cell>
        </row>
        <row r="245">
          <cell r="V245" t="str">
            <v>已入库</v>
          </cell>
        </row>
        <row r="246">
          <cell r="C246" t="str">
            <v>男</v>
          </cell>
        </row>
        <row r="246">
          <cell r="E246" t="str">
            <v>汉族</v>
          </cell>
          <cell r="F246" t="str">
            <v>大专</v>
          </cell>
        </row>
        <row r="246">
          <cell r="K246" t="str">
            <v>退休人员</v>
          </cell>
        </row>
        <row r="246">
          <cell r="N246" t="str">
            <v>正式党员</v>
          </cell>
        </row>
        <row r="246">
          <cell r="Q246" t="str">
            <v>中共枣阳市太平镇第二小学支部委员会</v>
          </cell>
        </row>
        <row r="246">
          <cell r="V246" t="str">
            <v>已入库</v>
          </cell>
        </row>
        <row r="247">
          <cell r="C247" t="str">
            <v>女</v>
          </cell>
        </row>
        <row r="247">
          <cell r="E247" t="str">
            <v>汉族</v>
          </cell>
          <cell r="F247" t="str">
            <v>大学</v>
          </cell>
        </row>
        <row r="247">
          <cell r="K247" t="str">
            <v>事业单位专业技术岗位</v>
          </cell>
        </row>
        <row r="247">
          <cell r="N247" t="str">
            <v>正式党员</v>
          </cell>
        </row>
        <row r="247">
          <cell r="Q247" t="str">
            <v>中共枣阳市太平镇第二小学支部委员会</v>
          </cell>
        </row>
        <row r="247">
          <cell r="V247" t="str">
            <v>已入库</v>
          </cell>
        </row>
        <row r="248">
          <cell r="C248" t="str">
            <v>男</v>
          </cell>
        </row>
        <row r="248">
          <cell r="E248" t="str">
            <v>汉族</v>
          </cell>
          <cell r="F248" t="str">
            <v>大学</v>
          </cell>
        </row>
        <row r="248">
          <cell r="K248" t="str">
            <v>事业单位专业技术岗位</v>
          </cell>
        </row>
        <row r="248">
          <cell r="N248" t="str">
            <v>正式党员</v>
          </cell>
        </row>
        <row r="248">
          <cell r="Q248" t="str">
            <v>中共枣阳市太平镇第二小学支部委员会</v>
          </cell>
        </row>
        <row r="248">
          <cell r="V248" t="str">
            <v>已入库</v>
          </cell>
        </row>
        <row r="249">
          <cell r="C249" t="str">
            <v>男</v>
          </cell>
        </row>
        <row r="249">
          <cell r="E249" t="str">
            <v>汉族</v>
          </cell>
          <cell r="F249" t="str">
            <v>大专</v>
          </cell>
        </row>
        <row r="249">
          <cell r="K249" t="str">
            <v>退休人员</v>
          </cell>
        </row>
        <row r="249">
          <cell r="N249" t="str">
            <v>正式党员</v>
          </cell>
        </row>
        <row r="249">
          <cell r="Q249" t="str">
            <v>中共枣阳市太平镇第二小学支部委员会</v>
          </cell>
        </row>
        <row r="249">
          <cell r="V249" t="str">
            <v>已入库</v>
          </cell>
        </row>
        <row r="250">
          <cell r="C250" t="str">
            <v>男</v>
          </cell>
        </row>
        <row r="250">
          <cell r="E250" t="str">
            <v>汉族</v>
          </cell>
          <cell r="F250" t="str">
            <v>中专</v>
          </cell>
        </row>
        <row r="250">
          <cell r="K250" t="str">
            <v>退休人员</v>
          </cell>
        </row>
        <row r="250">
          <cell r="N250" t="str">
            <v>正式党员</v>
          </cell>
        </row>
        <row r="250">
          <cell r="Q250" t="str">
            <v>中共枣阳市太平镇第二小学支部委员会</v>
          </cell>
        </row>
        <row r="250">
          <cell r="V250" t="str">
            <v>已入库</v>
          </cell>
        </row>
        <row r="251">
          <cell r="C251" t="str">
            <v>女</v>
          </cell>
        </row>
        <row r="251">
          <cell r="E251" t="str">
            <v>汉族</v>
          </cell>
          <cell r="F251" t="str">
            <v>中专</v>
          </cell>
        </row>
        <row r="251">
          <cell r="K251" t="str">
            <v>退休人员</v>
          </cell>
        </row>
        <row r="251">
          <cell r="N251" t="str">
            <v>正式党员</v>
          </cell>
        </row>
        <row r="251">
          <cell r="Q251" t="str">
            <v>中共枣阳市太平镇第二小学支部委员会</v>
          </cell>
        </row>
        <row r="251">
          <cell r="V251" t="str">
            <v>已入库</v>
          </cell>
        </row>
        <row r="252">
          <cell r="C252" t="str">
            <v>男</v>
          </cell>
        </row>
        <row r="252">
          <cell r="E252" t="str">
            <v>汉族</v>
          </cell>
          <cell r="F252" t="str">
            <v>大专</v>
          </cell>
        </row>
        <row r="252">
          <cell r="K252" t="str">
            <v>退休人员</v>
          </cell>
        </row>
        <row r="252">
          <cell r="N252" t="str">
            <v>正式党员</v>
          </cell>
        </row>
        <row r="252">
          <cell r="Q252" t="str">
            <v>中共枣阳市太平镇第二小学支部委员会</v>
          </cell>
        </row>
        <row r="252">
          <cell r="V252" t="str">
            <v>已入库</v>
          </cell>
        </row>
        <row r="253">
          <cell r="C253" t="str">
            <v>男</v>
          </cell>
        </row>
        <row r="253">
          <cell r="E253" t="str">
            <v>汉族</v>
          </cell>
          <cell r="F253" t="str">
            <v>中专</v>
          </cell>
        </row>
        <row r="253">
          <cell r="K253" t="str">
            <v>退休人员</v>
          </cell>
        </row>
        <row r="253">
          <cell r="N253" t="str">
            <v>正式党员</v>
          </cell>
        </row>
        <row r="253">
          <cell r="Q253" t="str">
            <v>中共枣阳市太平镇第二小学支部委员会</v>
          </cell>
        </row>
        <row r="253">
          <cell r="V253" t="str">
            <v>已入库</v>
          </cell>
        </row>
        <row r="254">
          <cell r="C254" t="str">
            <v>女</v>
          </cell>
        </row>
        <row r="254">
          <cell r="E254" t="str">
            <v>汉族</v>
          </cell>
          <cell r="F254" t="str">
            <v>大专</v>
          </cell>
        </row>
        <row r="254">
          <cell r="K254" t="str">
            <v>退休人员</v>
          </cell>
        </row>
        <row r="254">
          <cell r="N254" t="str">
            <v>正式党员</v>
          </cell>
        </row>
        <row r="254">
          <cell r="Q254" t="str">
            <v>中共枣阳市太平镇第二小学支部委员会</v>
          </cell>
        </row>
        <row r="254">
          <cell r="V254" t="str">
            <v>已入库</v>
          </cell>
        </row>
        <row r="255">
          <cell r="C255" t="str">
            <v>女</v>
          </cell>
        </row>
        <row r="255">
          <cell r="E255" t="str">
            <v>汉族</v>
          </cell>
          <cell r="F255" t="str">
            <v>大专</v>
          </cell>
        </row>
        <row r="255">
          <cell r="K255" t="str">
            <v>退休人员</v>
          </cell>
        </row>
        <row r="255">
          <cell r="N255" t="str">
            <v>正式党员</v>
          </cell>
        </row>
        <row r="255">
          <cell r="Q255" t="str">
            <v>中共枣阳市太平镇第二小学支部委员会</v>
          </cell>
        </row>
        <row r="255">
          <cell r="V255" t="str">
            <v>已入库</v>
          </cell>
        </row>
        <row r="256">
          <cell r="C256" t="str">
            <v>男</v>
          </cell>
        </row>
        <row r="256">
          <cell r="E256" t="str">
            <v>汉族</v>
          </cell>
          <cell r="F256" t="str">
            <v>大专</v>
          </cell>
        </row>
        <row r="256">
          <cell r="K256" t="str">
            <v>退休人员</v>
          </cell>
        </row>
        <row r="256">
          <cell r="N256" t="str">
            <v>正式党员</v>
          </cell>
        </row>
        <row r="256">
          <cell r="Q256" t="str">
            <v>中共枣阳市太平镇第二小学支部委员会</v>
          </cell>
        </row>
        <row r="256">
          <cell r="V256" t="str">
            <v>已入库</v>
          </cell>
        </row>
        <row r="257">
          <cell r="C257" t="str">
            <v>女</v>
          </cell>
        </row>
        <row r="257">
          <cell r="E257" t="str">
            <v>汉族</v>
          </cell>
          <cell r="F257" t="str">
            <v>大专</v>
          </cell>
        </row>
        <row r="257">
          <cell r="K257" t="str">
            <v>退休人员</v>
          </cell>
        </row>
        <row r="257">
          <cell r="N257" t="str">
            <v>正式党员</v>
          </cell>
        </row>
        <row r="257">
          <cell r="Q257" t="str">
            <v>中共枣阳市太平镇第二小学支部委员会</v>
          </cell>
        </row>
        <row r="257">
          <cell r="V257" t="str">
            <v>已入库</v>
          </cell>
        </row>
        <row r="258">
          <cell r="C258" t="str">
            <v>男</v>
          </cell>
        </row>
        <row r="258">
          <cell r="E258" t="str">
            <v>汉族</v>
          </cell>
          <cell r="F258" t="str">
            <v>大专</v>
          </cell>
        </row>
        <row r="258">
          <cell r="K258" t="str">
            <v>退休人员</v>
          </cell>
        </row>
        <row r="258">
          <cell r="N258" t="str">
            <v>正式党员</v>
          </cell>
        </row>
        <row r="258">
          <cell r="Q258" t="str">
            <v>中共枣阳市太平镇第二小学支部委员会</v>
          </cell>
        </row>
        <row r="258">
          <cell r="V258" t="str">
            <v>已入库</v>
          </cell>
        </row>
        <row r="259">
          <cell r="C259" t="str">
            <v>女</v>
          </cell>
        </row>
        <row r="259">
          <cell r="E259" t="str">
            <v>汉族</v>
          </cell>
          <cell r="F259" t="str">
            <v>大专</v>
          </cell>
        </row>
        <row r="259">
          <cell r="K259" t="str">
            <v>退休人员</v>
          </cell>
        </row>
        <row r="259">
          <cell r="N259" t="str">
            <v>正式党员</v>
          </cell>
        </row>
        <row r="259">
          <cell r="Q259" t="str">
            <v>中共枣阳市太平镇第二小学支部委员会</v>
          </cell>
        </row>
        <row r="259">
          <cell r="V259" t="str">
            <v>已入库</v>
          </cell>
        </row>
        <row r="260">
          <cell r="C260" t="str">
            <v>女</v>
          </cell>
        </row>
        <row r="260">
          <cell r="E260" t="str">
            <v>汉族</v>
          </cell>
          <cell r="F260" t="str">
            <v>大专</v>
          </cell>
        </row>
        <row r="260">
          <cell r="K260" t="str">
            <v>退休人员</v>
          </cell>
        </row>
        <row r="260">
          <cell r="N260" t="str">
            <v>正式党员</v>
          </cell>
        </row>
        <row r="260">
          <cell r="Q260" t="str">
            <v>中共枣阳市太平镇第二小学支部委员会</v>
          </cell>
        </row>
        <row r="260">
          <cell r="V260" t="str">
            <v>已入库</v>
          </cell>
        </row>
        <row r="261">
          <cell r="C261" t="str">
            <v>男</v>
          </cell>
        </row>
        <row r="261">
          <cell r="E261" t="str">
            <v>汉族</v>
          </cell>
          <cell r="F261" t="str">
            <v>中专</v>
          </cell>
        </row>
        <row r="261">
          <cell r="K261" t="str">
            <v>退休人员</v>
          </cell>
        </row>
        <row r="261">
          <cell r="N261" t="str">
            <v>正式党员</v>
          </cell>
        </row>
        <row r="261">
          <cell r="Q261" t="str">
            <v>中共枣阳市太平镇第二小学支部委员会</v>
          </cell>
        </row>
        <row r="261">
          <cell r="V261" t="str">
            <v>已入库</v>
          </cell>
        </row>
        <row r="262">
          <cell r="C262" t="str">
            <v>男</v>
          </cell>
        </row>
        <row r="262">
          <cell r="E262" t="str">
            <v>汉族</v>
          </cell>
          <cell r="F262" t="str">
            <v>大学</v>
          </cell>
        </row>
        <row r="262">
          <cell r="K262" t="str">
            <v>事业单位专业技术岗位</v>
          </cell>
        </row>
        <row r="262">
          <cell r="N262" t="str">
            <v>正式党员</v>
          </cell>
        </row>
        <row r="262">
          <cell r="Q262" t="str">
            <v>中共枣阳市太平镇第二小学支部委员会</v>
          </cell>
        </row>
        <row r="262">
          <cell r="V262" t="str">
            <v>已入库</v>
          </cell>
        </row>
        <row r="263">
          <cell r="C263" t="str">
            <v>男</v>
          </cell>
        </row>
        <row r="263">
          <cell r="E263" t="str">
            <v>汉族</v>
          </cell>
          <cell r="F263" t="str">
            <v>大专</v>
          </cell>
        </row>
        <row r="263">
          <cell r="K263" t="str">
            <v>事业单位专业技术岗位</v>
          </cell>
        </row>
        <row r="263">
          <cell r="N263" t="str">
            <v>正式党员</v>
          </cell>
        </row>
        <row r="263">
          <cell r="Q263" t="str">
            <v>中共枣阳市太平镇第二小学支部委员会</v>
          </cell>
        </row>
        <row r="263">
          <cell r="V263" t="str">
            <v>已入库</v>
          </cell>
        </row>
        <row r="264">
          <cell r="C264" t="str">
            <v>男</v>
          </cell>
        </row>
        <row r="264">
          <cell r="E264" t="str">
            <v>汉族</v>
          </cell>
          <cell r="F264" t="str">
            <v>大专</v>
          </cell>
        </row>
        <row r="264">
          <cell r="K264" t="str">
            <v>事业单位专业技术岗位</v>
          </cell>
        </row>
        <row r="264">
          <cell r="N264" t="str">
            <v>正式党员</v>
          </cell>
        </row>
        <row r="264">
          <cell r="Q264" t="str">
            <v>中共枣阳市太平镇第二小学支部委员会</v>
          </cell>
        </row>
        <row r="264">
          <cell r="V264" t="str">
            <v>已入库</v>
          </cell>
        </row>
        <row r="265">
          <cell r="C265" t="str">
            <v>男</v>
          </cell>
        </row>
        <row r="265">
          <cell r="E265" t="str">
            <v>汉族</v>
          </cell>
          <cell r="F265" t="str">
            <v>大专</v>
          </cell>
        </row>
        <row r="265">
          <cell r="K265" t="str">
            <v>事业单位管理岗位（含参照管理）</v>
          </cell>
        </row>
        <row r="265">
          <cell r="N265" t="str">
            <v>正式党员</v>
          </cell>
        </row>
        <row r="265">
          <cell r="Q265" t="str">
            <v>中共枣阳市太平镇第二小学支部委员会</v>
          </cell>
        </row>
        <row r="265">
          <cell r="V265" t="str">
            <v>已入库</v>
          </cell>
        </row>
        <row r="266">
          <cell r="C266" t="str">
            <v>男</v>
          </cell>
        </row>
        <row r="266">
          <cell r="E266" t="str">
            <v>汉族</v>
          </cell>
          <cell r="F266" t="str">
            <v>大专</v>
          </cell>
        </row>
        <row r="266">
          <cell r="K266" t="str">
            <v>退休人员</v>
          </cell>
        </row>
        <row r="266">
          <cell r="N266" t="str">
            <v>正式党员</v>
          </cell>
        </row>
        <row r="266">
          <cell r="Q266" t="str">
            <v>中共枣阳市太平镇第二小学支部委员会</v>
          </cell>
        </row>
        <row r="266">
          <cell r="V266" t="str">
            <v>已入库</v>
          </cell>
        </row>
        <row r="267">
          <cell r="C267" t="str">
            <v>男</v>
          </cell>
        </row>
        <row r="267">
          <cell r="E267" t="str">
            <v>汉族</v>
          </cell>
          <cell r="F267" t="str">
            <v>大学</v>
          </cell>
        </row>
        <row r="267">
          <cell r="K267" t="str">
            <v>事业单位专业技术岗位</v>
          </cell>
        </row>
        <row r="267">
          <cell r="N267" t="str">
            <v>正式党员</v>
          </cell>
        </row>
        <row r="267">
          <cell r="Q267" t="str">
            <v>中共枣阳市太平镇第二小学支部委员会</v>
          </cell>
        </row>
        <row r="267">
          <cell r="V267" t="str">
            <v>已入库</v>
          </cell>
        </row>
        <row r="268">
          <cell r="C268" t="str">
            <v>女</v>
          </cell>
        </row>
        <row r="268">
          <cell r="E268" t="str">
            <v>汉族</v>
          </cell>
          <cell r="F268" t="str">
            <v>大学</v>
          </cell>
        </row>
        <row r="268">
          <cell r="K268" t="str">
            <v>事业单位专业技术岗位</v>
          </cell>
        </row>
        <row r="268">
          <cell r="N268" t="str">
            <v>正式党员</v>
          </cell>
        </row>
        <row r="268">
          <cell r="Q268" t="str">
            <v>中共枣阳市太平镇第二小学支部委员会</v>
          </cell>
        </row>
        <row r="268">
          <cell r="V268" t="str">
            <v>已入库</v>
          </cell>
        </row>
        <row r="269">
          <cell r="C269" t="str">
            <v>男</v>
          </cell>
        </row>
        <row r="269">
          <cell r="E269" t="str">
            <v>汉族</v>
          </cell>
          <cell r="F269" t="str">
            <v>大专</v>
          </cell>
        </row>
        <row r="269">
          <cell r="K269" t="str">
            <v>事业单位专业技术岗位</v>
          </cell>
        </row>
        <row r="269">
          <cell r="N269" t="str">
            <v>正式党员</v>
          </cell>
        </row>
        <row r="269">
          <cell r="Q269" t="str">
            <v>中共枣阳市太平镇草店小学支部委员会</v>
          </cell>
        </row>
        <row r="269">
          <cell r="V269" t="str">
            <v>已入库</v>
          </cell>
        </row>
        <row r="270">
          <cell r="C270" t="str">
            <v>男</v>
          </cell>
        </row>
        <row r="270">
          <cell r="E270" t="str">
            <v>汉族</v>
          </cell>
          <cell r="F270" t="str">
            <v>中专</v>
          </cell>
        </row>
        <row r="270">
          <cell r="K270" t="str">
            <v>退休人员</v>
          </cell>
        </row>
        <row r="270">
          <cell r="N270" t="str">
            <v>正式党员</v>
          </cell>
        </row>
        <row r="270">
          <cell r="Q270" t="str">
            <v>中共枣阳市太平镇草店小学支部委员会</v>
          </cell>
        </row>
        <row r="270">
          <cell r="V270" t="str">
            <v>已入库</v>
          </cell>
        </row>
        <row r="271">
          <cell r="C271" t="str">
            <v>男</v>
          </cell>
        </row>
        <row r="271">
          <cell r="E271" t="str">
            <v>汉族</v>
          </cell>
          <cell r="F271" t="str">
            <v>高中</v>
          </cell>
        </row>
        <row r="271">
          <cell r="K271" t="str">
            <v>退休人员</v>
          </cell>
        </row>
        <row r="271">
          <cell r="N271" t="str">
            <v>正式党员</v>
          </cell>
        </row>
        <row r="271">
          <cell r="Q271" t="str">
            <v>中共枣阳市太平镇草店小学支部委员会</v>
          </cell>
        </row>
        <row r="271">
          <cell r="V271" t="str">
            <v>已入库</v>
          </cell>
        </row>
        <row r="272">
          <cell r="C272" t="str">
            <v>男</v>
          </cell>
        </row>
        <row r="272">
          <cell r="E272" t="str">
            <v>汉族</v>
          </cell>
          <cell r="F272" t="str">
            <v>大专</v>
          </cell>
        </row>
        <row r="272">
          <cell r="K272" t="str">
            <v>退休人员</v>
          </cell>
        </row>
        <row r="272">
          <cell r="N272" t="str">
            <v>正式党员</v>
          </cell>
        </row>
        <row r="272">
          <cell r="Q272" t="str">
            <v>中共枣阳市太平镇草店小学支部委员会</v>
          </cell>
        </row>
        <row r="272">
          <cell r="V272" t="str">
            <v>已入库</v>
          </cell>
        </row>
        <row r="273">
          <cell r="C273" t="str">
            <v>女</v>
          </cell>
        </row>
        <row r="273">
          <cell r="E273" t="str">
            <v>汉族</v>
          </cell>
          <cell r="F273" t="str">
            <v>大专</v>
          </cell>
        </row>
        <row r="273">
          <cell r="K273" t="str">
            <v>事业单位专业技术岗位</v>
          </cell>
        </row>
        <row r="273">
          <cell r="N273" t="str">
            <v>正式党员</v>
          </cell>
        </row>
        <row r="273">
          <cell r="Q273" t="str">
            <v>中共枣阳市太平镇草店小学支部委员会</v>
          </cell>
        </row>
        <row r="273">
          <cell r="V273" t="str">
            <v>已入库</v>
          </cell>
        </row>
        <row r="274">
          <cell r="C274" t="str">
            <v>女</v>
          </cell>
        </row>
        <row r="274">
          <cell r="E274" t="str">
            <v>汉族</v>
          </cell>
          <cell r="F274" t="str">
            <v>大学</v>
          </cell>
        </row>
        <row r="274">
          <cell r="K274" t="str">
            <v>事业单位专业技术岗位</v>
          </cell>
        </row>
        <row r="274">
          <cell r="N274" t="str">
            <v>正式党员</v>
          </cell>
        </row>
        <row r="274">
          <cell r="Q274" t="str">
            <v>中共枣阳市太平镇草店小学支部委员会</v>
          </cell>
        </row>
        <row r="274">
          <cell r="V274" t="str">
            <v>已入库</v>
          </cell>
        </row>
        <row r="275">
          <cell r="C275" t="str">
            <v>女</v>
          </cell>
        </row>
        <row r="275">
          <cell r="E275" t="str">
            <v>汉族</v>
          </cell>
          <cell r="F275" t="str">
            <v>大专</v>
          </cell>
        </row>
        <row r="275">
          <cell r="K275" t="str">
            <v>事业单位专业技术岗位</v>
          </cell>
        </row>
        <row r="275">
          <cell r="N275" t="str">
            <v>正式党员</v>
          </cell>
        </row>
        <row r="275">
          <cell r="Q275" t="str">
            <v>中共枣阳市太平镇草店小学支部委员会</v>
          </cell>
        </row>
        <row r="275">
          <cell r="V275" t="str">
            <v>已入库</v>
          </cell>
        </row>
        <row r="276">
          <cell r="C276" t="str">
            <v>男</v>
          </cell>
        </row>
        <row r="276">
          <cell r="E276" t="str">
            <v>汉族</v>
          </cell>
          <cell r="F276" t="str">
            <v>大专</v>
          </cell>
        </row>
        <row r="276">
          <cell r="K276" t="str">
            <v>事业单位专业技术岗位</v>
          </cell>
        </row>
        <row r="276">
          <cell r="N276" t="str">
            <v>正式党员</v>
          </cell>
        </row>
        <row r="276">
          <cell r="Q276" t="str">
            <v>中共枣阳市太平镇草店小学支部委员会</v>
          </cell>
        </row>
        <row r="276">
          <cell r="V276" t="str">
            <v>已入库</v>
          </cell>
        </row>
        <row r="277">
          <cell r="C277" t="str">
            <v>男</v>
          </cell>
        </row>
        <row r="277">
          <cell r="E277" t="str">
            <v>汉族</v>
          </cell>
          <cell r="F277" t="str">
            <v>中专</v>
          </cell>
        </row>
        <row r="277">
          <cell r="K277" t="str">
            <v>退休人员</v>
          </cell>
        </row>
        <row r="277">
          <cell r="N277" t="str">
            <v>正式党员</v>
          </cell>
        </row>
        <row r="277">
          <cell r="Q277" t="str">
            <v>中共枣阳市太平镇草店小学支部委员会</v>
          </cell>
        </row>
        <row r="277">
          <cell r="V277" t="str">
            <v>已入库</v>
          </cell>
        </row>
        <row r="278">
          <cell r="C278" t="str">
            <v>女</v>
          </cell>
        </row>
        <row r="278">
          <cell r="E278" t="str">
            <v>汉族</v>
          </cell>
          <cell r="F278" t="str">
            <v>大学</v>
          </cell>
        </row>
        <row r="278">
          <cell r="K278" t="str">
            <v>事业单位专业技术岗位</v>
          </cell>
        </row>
        <row r="278">
          <cell r="N278" t="str">
            <v>正式党员</v>
          </cell>
        </row>
        <row r="278">
          <cell r="Q278" t="str">
            <v>中共枣阳市太平镇草店小学支部委员会</v>
          </cell>
        </row>
        <row r="278">
          <cell r="V278" t="str">
            <v>已入库</v>
          </cell>
        </row>
        <row r="279">
          <cell r="C279" t="str">
            <v>男</v>
          </cell>
        </row>
        <row r="279">
          <cell r="E279" t="str">
            <v>汉族</v>
          </cell>
          <cell r="F279" t="str">
            <v>中专</v>
          </cell>
        </row>
        <row r="279">
          <cell r="K279" t="str">
            <v>退休人员</v>
          </cell>
        </row>
        <row r="279">
          <cell r="N279" t="str">
            <v>正式党员</v>
          </cell>
        </row>
        <row r="279">
          <cell r="Q279" t="str">
            <v>中共枣阳市太平镇草店小学支部委员会</v>
          </cell>
        </row>
        <row r="279">
          <cell r="V279" t="str">
            <v>已入库</v>
          </cell>
        </row>
        <row r="280">
          <cell r="C280" t="str">
            <v>男</v>
          </cell>
        </row>
        <row r="280">
          <cell r="E280" t="str">
            <v>汉族</v>
          </cell>
          <cell r="F280" t="str">
            <v>中专</v>
          </cell>
        </row>
        <row r="280">
          <cell r="K280" t="str">
            <v>退休人员</v>
          </cell>
        </row>
        <row r="280">
          <cell r="N280" t="str">
            <v>正式党员</v>
          </cell>
        </row>
        <row r="280">
          <cell r="Q280" t="str">
            <v>中共枣阳市太平镇草店小学支部委员会</v>
          </cell>
        </row>
        <row r="280">
          <cell r="V280" t="str">
            <v>已入库</v>
          </cell>
        </row>
        <row r="281">
          <cell r="C281" t="str">
            <v>男</v>
          </cell>
        </row>
        <row r="281">
          <cell r="E281" t="str">
            <v>汉族</v>
          </cell>
          <cell r="F281" t="str">
            <v>初中</v>
          </cell>
        </row>
        <row r="281">
          <cell r="K281" t="str">
            <v>退休人员</v>
          </cell>
        </row>
        <row r="281">
          <cell r="N281" t="str">
            <v>正式党员</v>
          </cell>
        </row>
        <row r="281">
          <cell r="Q281" t="str">
            <v>中共枣阳市太平镇草店小学支部委员会</v>
          </cell>
        </row>
        <row r="281">
          <cell r="V281" t="str">
            <v>已入库</v>
          </cell>
        </row>
        <row r="282">
          <cell r="C282" t="str">
            <v>男</v>
          </cell>
        </row>
        <row r="282">
          <cell r="E282" t="str">
            <v>汉族</v>
          </cell>
          <cell r="F282" t="str">
            <v>大专</v>
          </cell>
        </row>
        <row r="282">
          <cell r="K282" t="str">
            <v>事业单位专业技术岗位</v>
          </cell>
        </row>
        <row r="282">
          <cell r="N282" t="str">
            <v>正式党员</v>
          </cell>
        </row>
        <row r="282">
          <cell r="Q282" t="str">
            <v>中共枣阳市太平镇草店小学支部委员会</v>
          </cell>
        </row>
        <row r="282">
          <cell r="V282" t="str">
            <v>已入库</v>
          </cell>
        </row>
        <row r="283">
          <cell r="C283" t="str">
            <v>男</v>
          </cell>
        </row>
        <row r="283">
          <cell r="E283" t="str">
            <v>汉族</v>
          </cell>
          <cell r="F283" t="str">
            <v>大专</v>
          </cell>
        </row>
        <row r="283">
          <cell r="K283" t="str">
            <v>退休人员</v>
          </cell>
        </row>
        <row r="283">
          <cell r="N283" t="str">
            <v>正式党员</v>
          </cell>
        </row>
        <row r="283">
          <cell r="Q283" t="str">
            <v>中共枣阳市太平镇草店小学支部委员会</v>
          </cell>
        </row>
        <row r="283">
          <cell r="V283" t="str">
            <v>已入库</v>
          </cell>
        </row>
        <row r="284">
          <cell r="C284" t="str">
            <v>男</v>
          </cell>
        </row>
        <row r="284">
          <cell r="E284" t="str">
            <v>汉族</v>
          </cell>
          <cell r="F284" t="str">
            <v>中专</v>
          </cell>
        </row>
        <row r="284">
          <cell r="K284" t="str">
            <v>退休人员</v>
          </cell>
        </row>
        <row r="284">
          <cell r="N284" t="str">
            <v>正式党员</v>
          </cell>
        </row>
        <row r="284">
          <cell r="Q284" t="str">
            <v>中共枣阳市太平镇草店小学支部委员会</v>
          </cell>
        </row>
        <row r="284">
          <cell r="V284" t="str">
            <v>已入库</v>
          </cell>
        </row>
        <row r="285">
          <cell r="C285" t="str">
            <v>女</v>
          </cell>
        </row>
        <row r="285">
          <cell r="E285" t="str">
            <v>汉族</v>
          </cell>
          <cell r="F285" t="str">
            <v>初中</v>
          </cell>
        </row>
        <row r="285">
          <cell r="K285" t="str">
            <v>退休人员</v>
          </cell>
        </row>
        <row r="285">
          <cell r="N285" t="str">
            <v>正式党员</v>
          </cell>
        </row>
        <row r="285">
          <cell r="Q285" t="str">
            <v>中共枣阳市太平镇草店小学支部委员会</v>
          </cell>
        </row>
        <row r="285">
          <cell r="V285" t="str">
            <v>已入库</v>
          </cell>
        </row>
        <row r="286">
          <cell r="C286" t="str">
            <v>女</v>
          </cell>
        </row>
        <row r="286">
          <cell r="E286" t="str">
            <v>汉族</v>
          </cell>
          <cell r="F286" t="str">
            <v>高中</v>
          </cell>
        </row>
        <row r="286">
          <cell r="K286" t="str">
            <v>退休人员</v>
          </cell>
        </row>
        <row r="286">
          <cell r="N286" t="str">
            <v>正式党员</v>
          </cell>
        </row>
        <row r="286">
          <cell r="Q286" t="str">
            <v>中共枣阳市太平镇草店小学支部委员会</v>
          </cell>
        </row>
        <row r="286">
          <cell r="V286" t="str">
            <v>已入库</v>
          </cell>
        </row>
        <row r="287">
          <cell r="C287" t="str">
            <v>男</v>
          </cell>
        </row>
        <row r="287">
          <cell r="E287" t="str">
            <v>汉族</v>
          </cell>
          <cell r="F287" t="str">
            <v>大学</v>
          </cell>
        </row>
        <row r="287">
          <cell r="K287" t="str">
            <v>事业单位专业技术岗位</v>
          </cell>
        </row>
        <row r="287">
          <cell r="N287" t="str">
            <v>正式党员</v>
          </cell>
        </row>
        <row r="287">
          <cell r="Q287" t="str">
            <v>中共枣阳市太平镇草店小学支部委员会</v>
          </cell>
        </row>
        <row r="287">
          <cell r="V287" t="str">
            <v>已入库</v>
          </cell>
        </row>
        <row r="288">
          <cell r="C288" t="str">
            <v>男</v>
          </cell>
        </row>
        <row r="288">
          <cell r="E288" t="str">
            <v>汉族</v>
          </cell>
          <cell r="F288" t="str">
            <v>高中</v>
          </cell>
        </row>
        <row r="288">
          <cell r="K288" t="str">
            <v>退休人员</v>
          </cell>
        </row>
        <row r="288">
          <cell r="N288" t="str">
            <v>正式党员</v>
          </cell>
        </row>
        <row r="288">
          <cell r="Q288" t="str">
            <v>中共枣阳市太平镇光明小学支部</v>
          </cell>
        </row>
        <row r="288">
          <cell r="V288" t="str">
            <v>未入库</v>
          </cell>
        </row>
        <row r="289">
          <cell r="C289" t="str">
            <v>男</v>
          </cell>
        </row>
        <row r="289">
          <cell r="E289" t="str">
            <v>汉族</v>
          </cell>
          <cell r="F289" t="str">
            <v>中专</v>
          </cell>
        </row>
        <row r="289">
          <cell r="K289" t="str">
            <v>退休人员</v>
          </cell>
        </row>
        <row r="289">
          <cell r="N289" t="str">
            <v>正式党员</v>
          </cell>
        </row>
        <row r="289">
          <cell r="Q289" t="str">
            <v>中共枣阳市太平镇草店小学支部委员会</v>
          </cell>
        </row>
        <row r="289">
          <cell r="V289" t="str">
            <v>未入库</v>
          </cell>
        </row>
        <row r="290">
          <cell r="C290" t="str">
            <v>女</v>
          </cell>
        </row>
        <row r="290">
          <cell r="E290" t="str">
            <v>汉族</v>
          </cell>
          <cell r="F290" t="str">
            <v>中专</v>
          </cell>
        </row>
        <row r="290">
          <cell r="K290" t="str">
            <v>退休人员</v>
          </cell>
        </row>
        <row r="290">
          <cell r="N290" t="str">
            <v>正式党员</v>
          </cell>
        </row>
        <row r="290">
          <cell r="Q290" t="str">
            <v>中共枣阳市太平镇第二小学支部委员会</v>
          </cell>
        </row>
        <row r="290">
          <cell r="V290" t="str">
            <v>未入库</v>
          </cell>
        </row>
        <row r="291">
          <cell r="C291" t="str">
            <v>男</v>
          </cell>
        </row>
        <row r="291">
          <cell r="E291" t="str">
            <v>汉族</v>
          </cell>
          <cell r="F291" t="str">
            <v>中专</v>
          </cell>
        </row>
        <row r="291">
          <cell r="K291" t="str">
            <v>退休人员</v>
          </cell>
        </row>
        <row r="291">
          <cell r="N291" t="str">
            <v>正式党员</v>
          </cell>
        </row>
        <row r="291">
          <cell r="Q291" t="str">
            <v>中共枣阳市太平镇第二小学支部委员会</v>
          </cell>
        </row>
        <row r="291">
          <cell r="V291" t="str">
            <v>未入库</v>
          </cell>
        </row>
        <row r="292">
          <cell r="C292" t="str">
            <v>女</v>
          </cell>
        </row>
        <row r="292">
          <cell r="E292" t="str">
            <v>汉族</v>
          </cell>
          <cell r="F292" t="str">
            <v>大专</v>
          </cell>
        </row>
        <row r="292">
          <cell r="K292" t="str">
            <v>退休人员</v>
          </cell>
        </row>
        <row r="292">
          <cell r="N292" t="str">
            <v>正式党员</v>
          </cell>
        </row>
        <row r="292">
          <cell r="Q292" t="str">
            <v>中共枣阳市太平镇第三初级中学支部委员会</v>
          </cell>
        </row>
        <row r="292">
          <cell r="V292" t="str">
            <v>未入库</v>
          </cell>
        </row>
        <row r="293">
          <cell r="C293" t="str">
            <v>男</v>
          </cell>
        </row>
        <row r="293">
          <cell r="E293" t="str">
            <v>汉族</v>
          </cell>
          <cell r="F293" t="str">
            <v>中专</v>
          </cell>
        </row>
        <row r="293">
          <cell r="K293" t="str">
            <v>退休人员</v>
          </cell>
        </row>
        <row r="293">
          <cell r="N293" t="str">
            <v>正式党员</v>
          </cell>
        </row>
        <row r="293">
          <cell r="Q293" t="str">
            <v>中共枣阳市太平镇第一初级中学支部委员会</v>
          </cell>
        </row>
        <row r="293">
          <cell r="V293" t="str">
            <v>未入库</v>
          </cell>
        </row>
        <row r="294">
          <cell r="C294" t="str">
            <v>男</v>
          </cell>
        </row>
        <row r="294">
          <cell r="E294" t="str">
            <v>汉族</v>
          </cell>
          <cell r="F294" t="str">
            <v>大学</v>
          </cell>
        </row>
        <row r="294">
          <cell r="K294" t="str">
            <v>退休人员</v>
          </cell>
        </row>
        <row r="294">
          <cell r="N294" t="str">
            <v>正式党员</v>
          </cell>
        </row>
        <row r="294">
          <cell r="Q294" t="str">
            <v>中共枣阳市太平镇第二初级中学支部委员会</v>
          </cell>
        </row>
        <row r="294">
          <cell r="V294" t="str">
            <v>未入库</v>
          </cell>
        </row>
        <row r="295">
          <cell r="C295" t="str">
            <v>男</v>
          </cell>
        </row>
        <row r="295">
          <cell r="E295" t="str">
            <v>汉族</v>
          </cell>
          <cell r="F295" t="str">
            <v>大专</v>
          </cell>
        </row>
        <row r="295">
          <cell r="K295" t="str">
            <v>事业单位管理岗位（含参照管理）</v>
          </cell>
        </row>
        <row r="295">
          <cell r="N295" t="str">
            <v>正式党员</v>
          </cell>
        </row>
        <row r="295">
          <cell r="Q295" t="str">
            <v>中共枣阳市太平镇第三初级中学支部委员会</v>
          </cell>
        </row>
        <row r="295">
          <cell r="V295" t="str">
            <v>未入库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A19" sqref="A19"/>
    </sheetView>
  </sheetViews>
  <sheetFormatPr defaultColWidth="8.72727272727273" defaultRowHeight="14"/>
  <cols>
    <col min="1" max="1" width="39.3636363636364" style="1" customWidth="1"/>
    <col min="2" max="2" width="12.3636363636364" style="1" customWidth="1"/>
    <col min="3" max="3" width="10.7272727272727" style="1" customWidth="1"/>
    <col min="4" max="4" width="8.81818181818182" style="1" customWidth="1"/>
    <col min="5" max="5" width="8.72727272727273" style="1"/>
    <col min="6" max="6" width="10.7272727272727" style="1" customWidth="1"/>
    <col min="7" max="7" width="8.72727272727273" style="1"/>
    <col min="8" max="8" width="12.8181818181818" style="1" customWidth="1"/>
    <col min="9" max="9" width="18.9090909090909" style="1" customWidth="1"/>
    <col min="10" max="10" width="14" style="1" customWidth="1"/>
    <col min="11" max="12" width="9.54545454545454" style="1" customWidth="1"/>
    <col min="13" max="13" width="14" style="1" customWidth="1"/>
    <col min="14" max="16384" width="8.72727272727273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2" t="s">
        <v>13</v>
      </c>
      <c r="B2" s="2">
        <f t="shared" ref="B2:M2" si="0">SUM(B3:B15)</f>
        <v>294</v>
      </c>
      <c r="C2" s="2">
        <f t="shared" si="0"/>
        <v>294</v>
      </c>
      <c r="D2" s="2">
        <f t="shared" si="0"/>
        <v>0</v>
      </c>
      <c r="E2" s="2">
        <f t="shared" si="0"/>
        <v>286</v>
      </c>
      <c r="F2" s="2">
        <f t="shared" si="0"/>
        <v>8</v>
      </c>
      <c r="G2" s="2">
        <f t="shared" si="0"/>
        <v>82</v>
      </c>
      <c r="H2" s="2">
        <f t="shared" si="0"/>
        <v>1</v>
      </c>
      <c r="I2" s="2">
        <f t="shared" si="0"/>
        <v>217</v>
      </c>
      <c r="J2" s="2">
        <f t="shared" si="0"/>
        <v>134</v>
      </c>
      <c r="K2" s="2">
        <f t="shared" si="0"/>
        <v>5</v>
      </c>
      <c r="L2" s="2">
        <f t="shared" si="0"/>
        <v>152</v>
      </c>
      <c r="M2" s="2">
        <f t="shared" si="0"/>
        <v>3</v>
      </c>
    </row>
    <row r="3" s="1" customFormat="1" spans="1:13">
      <c r="A3" s="2" t="s">
        <v>14</v>
      </c>
      <c r="B3" s="2">
        <f>COUNTIF([1]汇总!Q$1:Q$65536,A3)</f>
        <v>20</v>
      </c>
      <c r="C3" s="3">
        <f>COUNTIFS([1]汇总!Q$1:Q$65536,A3,[1]汇总!N$1:N$65536,"正式党员")</f>
        <v>20</v>
      </c>
      <c r="D3" s="3">
        <f>COUNTIFS([1]汇总!Q$1:Q$65536,A3,[1]汇总!N$1:N$65536,"预备党员")</f>
        <v>0</v>
      </c>
      <c r="E3" s="4">
        <f>COUNTIFS([1]汇总!Q$1:Q$65536,A3,[1]汇总!V$1:V$65536,"已入库")</f>
        <v>19</v>
      </c>
      <c r="F3" s="3">
        <f>COUNTIFS([1]汇总!Q$1:Q$65536,A3,[1]汇总!V$1:V$65536,"未入库")</f>
        <v>1</v>
      </c>
      <c r="G3" s="3">
        <f>COUNTIFS([1]汇总!Q$1:Q$65536,A3,[1]汇总!C$1:C$65536,"女")</f>
        <v>6</v>
      </c>
      <c r="H3" s="3">
        <f>COUNTIFS([1]汇总!Q$1:Q$65536,A3,[1]汇总!E$1:E$65536,"&lt;&gt;汉族")</f>
        <v>0</v>
      </c>
      <c r="I3" s="3">
        <f t="array" ref="I3">SUM(COUNTIFS([1]汇总!Q$1:Q$65536,A3,[1]汇总!F$1:F$65536,{"大专","大学","硕士","博士"}))</f>
        <v>10</v>
      </c>
      <c r="J3" s="3">
        <f>COUNTIFS([1]汇总!Q$1:Q$65536,A3,[1]汇总!K$1:K$65536,"*专业技术*")</f>
        <v>8</v>
      </c>
      <c r="K3" s="3">
        <f>COUNTIFS([1]汇总!Q$1:Q$65536,A3,[1]汇总!K$1:K$65536,"*管理*")</f>
        <v>0</v>
      </c>
      <c r="L3" s="3">
        <f>COUNTIFS([1]汇总!Q$1:Q$65536,A3,[1]汇总!K$1:K$65536,"*退休*")</f>
        <v>12</v>
      </c>
      <c r="M3" s="3">
        <f>COUNTIFS([1]汇总!Q$1:Q$65536,A3,[1]汇总!K$1:K$65536,"*无业*")</f>
        <v>0</v>
      </c>
    </row>
    <row r="4" s="1" customFormat="1" spans="1:13">
      <c r="A4" s="2" t="s">
        <v>15</v>
      </c>
      <c r="B4" s="2">
        <f>COUNTIF([1]汇总!Q$1:Q$65536,A4)</f>
        <v>11</v>
      </c>
      <c r="C4" s="3">
        <f>COUNTIFS([1]汇总!Q$1:Q$65536,A4,[1]汇总!N$1:N$65536,"正式党员")</f>
        <v>11</v>
      </c>
      <c r="D4" s="3">
        <f>COUNTIFS([1]汇总!Q$1:Q$65536,A4,[1]汇总!N$1:N$65536,"预备党员")</f>
        <v>0</v>
      </c>
      <c r="E4" s="4">
        <f>COUNTIFS([1]汇总!Q$1:Q$65536,A4,[1]汇总!V$1:V$65536,"已入库")</f>
        <v>10</v>
      </c>
      <c r="F4" s="3">
        <f>COUNTIFS([1]汇总!Q$1:Q$65536,A4,[1]汇总!V$1:V$65536,"未入库")</f>
        <v>1</v>
      </c>
      <c r="G4" s="3">
        <f>COUNTIFS([1]汇总!Q$1:Q$65536,A4,[1]汇总!C$1:C$65536,"女")</f>
        <v>2</v>
      </c>
      <c r="H4" s="3">
        <f>COUNTIFS([1]汇总!Q$1:Q$65536,A4,[1]汇总!E$1:E$65536,"&lt;&gt;汉族")</f>
        <v>0</v>
      </c>
      <c r="I4" s="3">
        <f t="array" ref="I4">SUM(COUNTIFS([1]汇总!Q$1:Q$65536,A4,[1]汇总!F$1:F$65536,{"大专","大学","硕士","博士"}))</f>
        <v>10</v>
      </c>
      <c r="J4" s="3">
        <f>COUNTIFS([1]汇总!Q$1:Q$65536,A4,[1]汇总!K$1:K$65536,"*专业技术*")</f>
        <v>6</v>
      </c>
      <c r="K4" s="3">
        <f>COUNTIFS([1]汇总!Q$1:Q$65536,A4,[1]汇总!K$1:K$65536,"*管理*")</f>
        <v>0</v>
      </c>
      <c r="L4" s="3">
        <f>COUNTIFS([1]汇总!Q$1:Q$65536,A4,[1]汇总!K$1:K$65536,"*退休*")</f>
        <v>5</v>
      </c>
      <c r="M4" s="3">
        <f>COUNTIFS([1]汇总!Q$1:Q$65536,A4,[1]汇总!K$1:K$65536,"*无业*")</f>
        <v>0</v>
      </c>
    </row>
    <row r="5" s="1" customFormat="1" spans="1:13">
      <c r="A5" s="2" t="s">
        <v>16</v>
      </c>
      <c r="B5" s="2">
        <f>COUNTIF([1]汇总!Q$1:Q$65536,A5)</f>
        <v>46</v>
      </c>
      <c r="C5" s="3">
        <f>COUNTIFS([1]汇总!Q$1:Q$65536,A5,[1]汇总!N$1:N$65536,"正式党员")</f>
        <v>46</v>
      </c>
      <c r="D5" s="3">
        <f>COUNTIFS([1]汇总!Q$1:Q$65536,A5,[1]汇总!N$1:N$65536,"预备党员")</f>
        <v>0</v>
      </c>
      <c r="E5" s="4">
        <f>COUNTIFS([1]汇总!Q$1:Q$65536,A5,[1]汇总!V$1:V$65536,"已入库")</f>
        <v>46</v>
      </c>
      <c r="F5" s="3">
        <f>COUNTIFS([1]汇总!Q$1:Q$65536,A5,[1]汇总!V$1:V$65536,"未入库")</f>
        <v>0</v>
      </c>
      <c r="G5" s="3">
        <f>COUNTIFS([1]汇总!Q$1:Q$65536,A5,[1]汇总!C$1:C$65536,"女")</f>
        <v>20</v>
      </c>
      <c r="H5" s="3">
        <f>COUNTIFS([1]汇总!Q$1:Q$65536,A5,[1]汇总!E$1:E$65536,"&lt;&gt;汉族")</f>
        <v>0</v>
      </c>
      <c r="I5" s="3">
        <f t="array" ref="I5">SUM(COUNTIFS([1]汇总!Q$1:Q$65536,A5,[1]汇总!F$1:F$65536,{"大专","大学","硕士","博士"}))</f>
        <v>34</v>
      </c>
      <c r="J5" s="3">
        <f>COUNTIFS([1]汇总!Q$1:Q$65536,A5,[1]汇总!K$1:K$65536,"*专业技术*")</f>
        <v>22</v>
      </c>
      <c r="K5" s="3">
        <f>COUNTIFS([1]汇总!Q$1:Q$65536,A5,[1]汇总!K$1:K$65536,"*管理*")</f>
        <v>1</v>
      </c>
      <c r="L5" s="3">
        <f>COUNTIFS([1]汇总!Q$1:Q$65536,A5,[1]汇总!K$1:K$65536,"*退休*")</f>
        <v>23</v>
      </c>
      <c r="M5" s="3">
        <f>COUNTIFS([1]汇总!Q$1:Q$65536,A5,[1]汇总!K$1:K$65536,"*无业*")</f>
        <v>0</v>
      </c>
    </row>
    <row r="6" s="1" customFormat="1" spans="1:13">
      <c r="A6" s="2" t="s">
        <v>17</v>
      </c>
      <c r="B6" s="2">
        <f>COUNTIF([1]汇总!Q$1:Q$65536,A6)</f>
        <v>15</v>
      </c>
      <c r="C6" s="3">
        <f>COUNTIFS([1]汇总!Q$1:Q$65536,A6,[1]汇总!N$1:N$65536,"正式党员")</f>
        <v>15</v>
      </c>
      <c r="D6" s="3">
        <f>COUNTIFS([1]汇总!Q$1:Q$65536,A6,[1]汇总!N$1:N$65536,"预备党员")</f>
        <v>0</v>
      </c>
      <c r="E6" s="4">
        <f>COUNTIFS([1]汇总!Q$1:Q$65536,A6,[1]汇总!V$1:V$65536,"已入库")</f>
        <v>15</v>
      </c>
      <c r="F6" s="3">
        <f>COUNTIFS([1]汇总!Q$1:Q$65536,A6,[1]汇总!V$1:V$65536,"未入库")</f>
        <v>0</v>
      </c>
      <c r="G6" s="3">
        <f>COUNTIFS([1]汇总!Q$1:Q$65536,A6,[1]汇总!C$1:C$65536,"女")</f>
        <v>5</v>
      </c>
      <c r="H6" s="3">
        <f>COUNTIFS([1]汇总!Q$1:Q$65536,A6,[1]汇总!E$1:E$65536,"&lt;&gt;汉族")</f>
        <v>0</v>
      </c>
      <c r="I6" s="3">
        <f t="array" ref="I6">SUM(COUNTIFS([1]汇总!Q$1:Q$65536,A6,[1]汇总!F$1:F$65536,{"大专","大学","硕士","博士"}))</f>
        <v>9</v>
      </c>
      <c r="J6" s="3">
        <f>COUNTIFS([1]汇总!Q$1:Q$65536,A6,[1]汇总!K$1:K$65536,"*专业技术*")</f>
        <v>4</v>
      </c>
      <c r="K6" s="3">
        <f>COUNTIFS([1]汇总!Q$1:Q$65536,A6,[1]汇总!K$1:K$65536,"*管理*")</f>
        <v>0</v>
      </c>
      <c r="L6" s="3">
        <f>COUNTIFS([1]汇总!Q$1:Q$65536,A6,[1]汇总!K$1:K$65536,"*退休*")</f>
        <v>11</v>
      </c>
      <c r="M6" s="3">
        <f>COUNTIFS([1]汇总!Q$1:Q$65536,A6,[1]汇总!K$1:K$65536,"*无业*")</f>
        <v>0</v>
      </c>
    </row>
    <row r="7" s="1" customFormat="1" spans="1:13">
      <c r="A7" s="2" t="s">
        <v>18</v>
      </c>
      <c r="B7" s="2">
        <f>COUNTIF([1]汇总!Q$1:Q$65536,A7)</f>
        <v>35</v>
      </c>
      <c r="C7" s="3">
        <f>COUNTIFS([1]汇总!Q$1:Q$65536,A7,[1]汇总!N$1:N$65536,"正式党员")</f>
        <v>35</v>
      </c>
      <c r="D7" s="3">
        <f>COUNTIFS([1]汇总!Q$1:Q$65536,A7,[1]汇总!N$1:N$65536,"预备党员")</f>
        <v>0</v>
      </c>
      <c r="E7" s="4">
        <f>COUNTIFS([1]汇总!Q$1:Q$65536,A7,[1]汇总!V$1:V$65536,"已入库")</f>
        <v>34</v>
      </c>
      <c r="F7" s="3">
        <f>COUNTIFS([1]汇总!Q$1:Q$65536,A7,[1]汇总!V$1:V$65536,"未入库")</f>
        <v>1</v>
      </c>
      <c r="G7" s="3">
        <f>COUNTIFS([1]汇总!Q$1:Q$65536,A7,[1]汇总!C$1:C$65536,"女")</f>
        <v>5</v>
      </c>
      <c r="H7" s="3">
        <f>COUNTIFS([1]汇总!Q$1:Q$65536,A7,[1]汇总!E$1:E$65536,"&lt;&gt;汉族")</f>
        <v>0</v>
      </c>
      <c r="I7" s="3">
        <f t="array" ref="I7">SUM(COUNTIFS([1]汇总!Q$1:Q$65536,A7,[1]汇总!F$1:F$65536,{"大专","大学","硕士","博士"}))</f>
        <v>27</v>
      </c>
      <c r="J7" s="3">
        <f>COUNTIFS([1]汇总!Q$1:Q$65536,A7,[1]汇总!K$1:K$65536,"*专业技术*")</f>
        <v>17</v>
      </c>
      <c r="K7" s="3">
        <f>COUNTIFS([1]汇总!Q$1:Q$65536,A7,[1]汇总!K$1:K$65536,"*管理*")</f>
        <v>1</v>
      </c>
      <c r="L7" s="3">
        <f>COUNTIFS([1]汇总!Q$1:Q$65536,A7,[1]汇总!K$1:K$65536,"*退休*")</f>
        <v>15</v>
      </c>
      <c r="M7" s="3">
        <f>COUNTIFS([1]汇总!Q$1:Q$65536,A7,[1]汇总!K$1:K$65536,"*无业*")</f>
        <v>2</v>
      </c>
    </row>
    <row r="8" s="1" customFormat="1" spans="1:13">
      <c r="A8" s="2" t="s">
        <v>19</v>
      </c>
      <c r="B8" s="2">
        <f>COUNTIF([1]汇总!Q$1:Q$65536,A8)</f>
        <v>13</v>
      </c>
      <c r="C8" s="3">
        <f>COUNTIFS([1]汇总!Q$1:Q$65536,A8,[1]汇总!N$1:N$65536,"正式党员")</f>
        <v>13</v>
      </c>
      <c r="D8" s="3">
        <f>COUNTIFS([1]汇总!Q$1:Q$65536,A8,[1]汇总!N$1:N$65536,"预备党员")</f>
        <v>0</v>
      </c>
      <c r="E8" s="4">
        <f>COUNTIFS([1]汇总!Q$1:Q$65536,A8,[1]汇总!V$1:V$65536,"已入库")</f>
        <v>13</v>
      </c>
      <c r="F8" s="3">
        <f>COUNTIFS([1]汇总!Q$1:Q$65536,A8,[1]汇总!V$1:V$65536,"未入库")</f>
        <v>0</v>
      </c>
      <c r="G8" s="3">
        <f>COUNTIFS([1]汇总!Q$1:Q$65536,A8,[1]汇总!C$1:C$65536,"女")</f>
        <v>0</v>
      </c>
      <c r="H8" s="3">
        <f>COUNTIFS([1]汇总!Q$1:Q$65536,A8,[1]汇总!E$1:E$65536,"&lt;&gt;汉族")</f>
        <v>0</v>
      </c>
      <c r="I8" s="3">
        <f t="array" ref="I8">SUM(COUNTIFS([1]汇总!Q$1:Q$65536,A8,[1]汇总!F$1:F$65536,{"大专","大学","硕士","博士"}))</f>
        <v>13</v>
      </c>
      <c r="J8" s="3">
        <f>COUNTIFS([1]汇总!Q$1:Q$65536,A8,[1]汇总!K$1:K$65536,"*专业技术*")</f>
        <v>13</v>
      </c>
      <c r="K8" s="3">
        <f>COUNTIFS([1]汇总!Q$1:Q$65536,A8,[1]汇总!K$1:K$65536,"*管理*")</f>
        <v>0</v>
      </c>
      <c r="L8" s="3">
        <f>COUNTIFS([1]汇总!Q$1:Q$65536,A8,[1]汇总!K$1:K$65536,"*退休*")</f>
        <v>0</v>
      </c>
      <c r="M8" s="3">
        <f>COUNTIFS([1]汇总!Q$1:Q$65536,A8,[1]汇总!K$1:K$65536,"*无业*")</f>
        <v>0</v>
      </c>
    </row>
    <row r="9" s="1" customFormat="1" spans="1:13">
      <c r="A9" s="2" t="s">
        <v>20</v>
      </c>
      <c r="B9" s="2">
        <f>COUNTIF([1]汇总!Q$1:Q$65536,A9)</f>
        <v>15</v>
      </c>
      <c r="C9" s="3">
        <f>COUNTIFS([1]汇总!Q$1:Q$65536,A9,[1]汇总!N$1:N$65536,"正式党员")</f>
        <v>15</v>
      </c>
      <c r="D9" s="3">
        <f>COUNTIFS([1]汇总!Q$1:Q$65536,A9,[1]汇总!N$1:N$65536,"预备党员")</f>
        <v>0</v>
      </c>
      <c r="E9" s="4">
        <f>COUNTIFS([1]汇总!Q$1:Q$65536,A9,[1]汇总!V$1:V$65536,"已入库")</f>
        <v>15</v>
      </c>
      <c r="F9" s="3">
        <f>COUNTIFS([1]汇总!Q$1:Q$65536,A9,[1]汇总!V$1:V$65536,"未入库")</f>
        <v>0</v>
      </c>
      <c r="G9" s="3">
        <f>COUNTIFS([1]汇总!Q$1:Q$65536,A9,[1]汇总!C$1:C$65536,"女")</f>
        <v>6</v>
      </c>
      <c r="H9" s="3">
        <f>COUNTIFS([1]汇总!Q$1:Q$65536,A9,[1]汇总!E$1:E$65536,"&lt;&gt;汉族")</f>
        <v>0</v>
      </c>
      <c r="I9" s="3">
        <f t="array" ref="I9">SUM(COUNTIFS([1]汇总!Q$1:Q$65536,A9,[1]汇总!F$1:F$65536,{"大专","大学","硕士","博士"}))</f>
        <v>14</v>
      </c>
      <c r="J9" s="3">
        <f>COUNTIFS([1]汇总!Q$1:Q$65536,A9,[1]汇总!K$1:K$65536,"*专业技术*")</f>
        <v>5</v>
      </c>
      <c r="K9" s="3">
        <f>COUNTIFS([1]汇总!Q$1:Q$65536,A9,[1]汇总!K$1:K$65536,"*管理*")</f>
        <v>0</v>
      </c>
      <c r="L9" s="3">
        <f>COUNTIFS([1]汇总!Q$1:Q$65536,A9,[1]汇总!K$1:K$65536,"*退休*")</f>
        <v>10</v>
      </c>
      <c r="M9" s="3">
        <f>COUNTIFS([1]汇总!Q$1:Q$65536,A9,[1]汇总!K$1:K$65536,"*无业*")</f>
        <v>0</v>
      </c>
    </row>
    <row r="10" s="1" customFormat="1" spans="1:13">
      <c r="A10" s="2" t="s">
        <v>21</v>
      </c>
      <c r="B10" s="2">
        <f>COUNTIF([1]汇总!Q$1:Q$65536,A10)</f>
        <v>26</v>
      </c>
      <c r="C10" s="3">
        <f>COUNTIFS([1]汇总!Q$1:Q$65536,A10,[1]汇总!N$1:N$65536,"正式党员")</f>
        <v>26</v>
      </c>
      <c r="D10" s="3">
        <f>COUNTIFS([1]汇总!Q$1:Q$65536,A10,[1]汇总!N$1:N$65536,"预备党员")</f>
        <v>0</v>
      </c>
      <c r="E10" s="4">
        <f>COUNTIFS([1]汇总!Q$1:Q$65536,A10,[1]汇总!V$1:V$65536,"已入库")</f>
        <v>25</v>
      </c>
      <c r="F10" s="3">
        <f>COUNTIFS([1]汇总!Q$1:Q$65536,A10,[1]汇总!V$1:V$65536,"未入库")</f>
        <v>1</v>
      </c>
      <c r="G10" s="3">
        <f>COUNTIFS([1]汇总!Q$1:Q$65536,A10,[1]汇总!C$1:C$65536,"女")</f>
        <v>4</v>
      </c>
      <c r="H10" s="3">
        <f>COUNTIFS([1]汇总!Q$1:Q$65536,A10,[1]汇总!E$1:E$65536,"&lt;&gt;汉族")</f>
        <v>1</v>
      </c>
      <c r="I10" s="3">
        <f t="array" ref="I10">SUM(COUNTIFS([1]汇总!Q$1:Q$65536,A10,[1]汇总!F$1:F$65536,{"大专","大学","硕士","博士"}))</f>
        <v>26</v>
      </c>
      <c r="J10" s="3">
        <f>COUNTIFS([1]汇总!Q$1:Q$65536,A10,[1]汇总!K$1:K$65536,"*专业技术*")</f>
        <v>17</v>
      </c>
      <c r="K10" s="3">
        <f>COUNTIFS([1]汇总!Q$1:Q$65536,A10,[1]汇总!K$1:K$65536,"*管理*")</f>
        <v>0</v>
      </c>
      <c r="L10" s="3">
        <f>COUNTIFS([1]汇总!Q$1:Q$65536,A10,[1]汇总!K$1:K$65536,"*退休*")</f>
        <v>8</v>
      </c>
      <c r="M10" s="3">
        <f>COUNTIFS([1]汇总!Q$1:Q$65536,A10,[1]汇总!K$1:K$65536,"*无业*")</f>
        <v>1</v>
      </c>
    </row>
    <row r="11" s="1" customFormat="1" spans="1:13">
      <c r="A11" s="2" t="s">
        <v>22</v>
      </c>
      <c r="B11" s="2">
        <f>COUNTIF([1]汇总!Q$1:Q$65536,A11)</f>
        <v>35</v>
      </c>
      <c r="C11" s="3">
        <f>COUNTIFS([1]汇总!Q$1:Q$65536,A11,[1]汇总!N$1:N$65536,"正式党员")</f>
        <v>35</v>
      </c>
      <c r="D11" s="3">
        <f>COUNTIFS([1]汇总!Q$1:Q$65536,A11,[1]汇总!N$1:N$65536,"预备党员")</f>
        <v>0</v>
      </c>
      <c r="E11" s="4">
        <f>COUNTIFS([1]汇总!Q$1:Q$65536,A11,[1]汇总!V$1:V$65536,"已入库")</f>
        <v>33</v>
      </c>
      <c r="F11" s="3">
        <f>COUNTIFS([1]汇总!Q$1:Q$65536,A11,[1]汇总!V$1:V$65536,"未入库")</f>
        <v>2</v>
      </c>
      <c r="G11" s="3">
        <f>COUNTIFS([1]汇总!Q$1:Q$65536,A11,[1]汇总!C$1:C$65536,"女")</f>
        <v>5</v>
      </c>
      <c r="H11" s="3">
        <f>COUNTIFS([1]汇总!Q$1:Q$65536,A11,[1]汇总!E$1:E$65536,"&lt;&gt;汉族")</f>
        <v>0</v>
      </c>
      <c r="I11" s="3">
        <f t="array" ref="I11">SUM(COUNTIFS([1]汇总!Q$1:Q$65536,A11,[1]汇总!F$1:F$65536,{"大专","大学","硕士","博士"}))</f>
        <v>24</v>
      </c>
      <c r="J11" s="3">
        <f>COUNTIFS([1]汇总!Q$1:Q$65536,A11,[1]汇总!K$1:K$65536,"*专业技术*")</f>
        <v>16</v>
      </c>
      <c r="K11" s="3">
        <f>COUNTIFS([1]汇总!Q$1:Q$65536,A11,[1]汇总!K$1:K$65536,"*管理*")</f>
        <v>1</v>
      </c>
      <c r="L11" s="3">
        <f>COUNTIFS([1]汇总!Q$1:Q$65536,A11,[1]汇总!K$1:K$65536,"*退休*")</f>
        <v>18</v>
      </c>
      <c r="M11" s="3">
        <f>COUNTIFS([1]汇总!Q$1:Q$65536,A11,[1]汇总!K$1:K$65536,"*无业*")</f>
        <v>0</v>
      </c>
    </row>
    <row r="12" s="1" customFormat="1" spans="1:13">
      <c r="A12" s="2" t="s">
        <v>23</v>
      </c>
      <c r="B12" s="2">
        <f>COUNTIF([1]汇总!Q$1:Q$65536,A12)</f>
        <v>47</v>
      </c>
      <c r="C12" s="3">
        <f>COUNTIFS([1]汇总!Q$1:Q$65536,A12,[1]汇总!N$1:N$65536,"正式党员")</f>
        <v>47</v>
      </c>
      <c r="D12" s="3">
        <f>COUNTIFS([1]汇总!Q$1:Q$65536,A12,[1]汇总!N$1:N$65536,"预备党员")</f>
        <v>0</v>
      </c>
      <c r="E12" s="4">
        <f>COUNTIFS([1]汇总!Q$1:Q$65536,A12,[1]汇总!V$1:V$65536,"已入库")</f>
        <v>45</v>
      </c>
      <c r="F12" s="3">
        <f>COUNTIFS([1]汇总!Q$1:Q$65536,A12,[1]汇总!V$1:V$65536,"未入库")</f>
        <v>2</v>
      </c>
      <c r="G12" s="3">
        <f>COUNTIFS([1]汇总!Q$1:Q$65536,A12,[1]汇总!C$1:C$65536,"女")</f>
        <v>15</v>
      </c>
      <c r="H12" s="3">
        <f>COUNTIFS([1]汇总!Q$1:Q$65536,A12,[1]汇总!E$1:E$65536,"&lt;&gt;汉族")</f>
        <v>0</v>
      </c>
      <c r="I12" s="3">
        <f t="array" ref="I12">SUM(COUNTIFS([1]汇总!Q$1:Q$65536,A12,[1]汇总!F$1:F$65536,{"大专","大学","硕士","博士"}))</f>
        <v>30</v>
      </c>
      <c r="J12" s="3">
        <f>COUNTIFS([1]汇总!Q$1:Q$65536,A12,[1]汇总!K$1:K$65536,"*专业技术*")</f>
        <v>11</v>
      </c>
      <c r="K12" s="3">
        <f>COUNTIFS([1]汇总!Q$1:Q$65536,A12,[1]汇总!K$1:K$65536,"*管理*")</f>
        <v>1</v>
      </c>
      <c r="L12" s="3">
        <f>COUNTIFS([1]汇总!Q$1:Q$65536,A12,[1]汇总!K$1:K$65536,"*退休*")</f>
        <v>35</v>
      </c>
      <c r="M12" s="3">
        <f>COUNTIFS([1]汇总!Q$1:Q$65536,A12,[1]汇总!K$1:K$65536,"*无业*")</f>
        <v>0</v>
      </c>
    </row>
    <row r="13" s="1" customFormat="1" spans="1:13">
      <c r="A13" s="2" t="s">
        <v>24</v>
      </c>
      <c r="B13" s="2">
        <f>COUNTIF([1]汇总!Q$1:Q$65536,A13)</f>
        <v>12</v>
      </c>
      <c r="C13" s="3">
        <f>COUNTIFS([1]汇总!Q$1:Q$65536,A13,[1]汇总!N$1:N$65536,"正式党员")</f>
        <v>12</v>
      </c>
      <c r="D13" s="3">
        <f>COUNTIFS([1]汇总!Q$1:Q$65536,A13,[1]汇总!N$1:N$65536,"预备党员")</f>
        <v>0</v>
      </c>
      <c r="E13" s="4">
        <f>COUNTIFS([1]汇总!Q$1:Q$65536,A13,[1]汇总!V$1:V$65536,"已入库")</f>
        <v>12</v>
      </c>
      <c r="F13" s="3">
        <f>COUNTIFS([1]汇总!Q$1:Q$65536,A13,[1]汇总!V$1:V$65536,"未入库")</f>
        <v>0</v>
      </c>
      <c r="G13" s="3">
        <f>COUNTIFS([1]汇总!Q$1:Q$65536,A13,[1]汇总!C$1:C$65536,"女")</f>
        <v>4</v>
      </c>
      <c r="H13" s="3">
        <f>COUNTIFS([1]汇总!Q$1:Q$65536,A13,[1]汇总!E$1:E$65536,"&lt;&gt;汉族")</f>
        <v>0</v>
      </c>
      <c r="I13" s="3">
        <f t="array" ref="I13">SUM(COUNTIFS([1]汇总!Q$1:Q$65536,A13,[1]汇总!F$1:F$65536,{"大专","大学","硕士","博士"}))</f>
        <v>5</v>
      </c>
      <c r="J13" s="3">
        <f>COUNTIFS([1]汇总!Q$1:Q$65536,A13,[1]汇总!K$1:K$65536,"*专业技术*")</f>
        <v>4</v>
      </c>
      <c r="K13" s="3">
        <f>COUNTIFS([1]汇总!Q$1:Q$65536,A13,[1]汇总!K$1:K$65536,"*管理*")</f>
        <v>0</v>
      </c>
      <c r="L13" s="3">
        <f>COUNTIFS([1]汇总!Q$1:Q$65536,A13,[1]汇总!K$1:K$65536,"*退休*")</f>
        <v>8</v>
      </c>
      <c r="M13" s="3">
        <f>COUNTIFS([1]汇总!Q$1:Q$65536,A13,[1]汇总!K$1:K$65536,"*无业*")</f>
        <v>0</v>
      </c>
    </row>
    <row r="14" s="1" customFormat="1" spans="1:13">
      <c r="A14" s="2" t="s">
        <v>25</v>
      </c>
      <c r="B14" s="2">
        <f>COUNTIF([1]汇总!Q$1:Q$65536,A14)</f>
        <v>14</v>
      </c>
      <c r="C14" s="3">
        <f>COUNTIFS([1]汇总!Q$1:Q$65536,A14,[1]汇总!N$1:N$65536,"正式党员")</f>
        <v>14</v>
      </c>
      <c r="D14" s="3">
        <f>COUNTIFS([1]汇总!Q$1:Q$65536,A14,[1]汇总!N$1:N$65536,"预备党员")</f>
        <v>0</v>
      </c>
      <c r="E14" s="4">
        <f>COUNTIFS([1]汇总!Q$1:Q$65536,A14,[1]汇总!V$1:V$65536,"已入库")</f>
        <v>14</v>
      </c>
      <c r="F14" s="3">
        <f>COUNTIFS([1]汇总!Q$1:Q$65536,A14,[1]汇总!V$1:V$65536,"未入库")</f>
        <v>0</v>
      </c>
      <c r="G14" s="3">
        <f>COUNTIFS([1]汇总!Q$1:Q$65536,A14,[1]汇总!C$1:C$65536,"女")</f>
        <v>6</v>
      </c>
      <c r="H14" s="3">
        <f>COUNTIFS([1]汇总!Q$1:Q$65536,A14,[1]汇总!E$1:E$65536,"&lt;&gt;汉族")</f>
        <v>0</v>
      </c>
      <c r="I14" s="3">
        <f t="array" ref="I14">SUM(COUNTIFS([1]汇总!Q$1:Q$65536,A14,[1]汇总!F$1:F$65536,{"大专","大学","硕士","博士"}))</f>
        <v>10</v>
      </c>
      <c r="J14" s="3">
        <f>COUNTIFS([1]汇总!Q$1:Q$65536,A14,[1]汇总!K$1:K$65536,"*专业技术*")</f>
        <v>7</v>
      </c>
      <c r="K14" s="3">
        <f>COUNTIFS([1]汇总!Q$1:Q$65536,A14,[1]汇总!K$1:K$65536,"*管理*")</f>
        <v>0</v>
      </c>
      <c r="L14" s="3">
        <f>COUNTIFS([1]汇总!Q$1:Q$65536,A14,[1]汇总!K$1:K$65536,"*退休*")</f>
        <v>7</v>
      </c>
      <c r="M14" s="3">
        <f>COUNTIFS([1]汇总!Q$1:Q$65536,A14,[1]汇总!K$1:K$65536,"*无业*")</f>
        <v>0</v>
      </c>
    </row>
    <row r="15" s="1" customFormat="1" spans="1:13">
      <c r="A15" s="2" t="s">
        <v>26</v>
      </c>
      <c r="B15" s="2">
        <f>COUNTIF([1]汇总!Q$1:Q$65536,A15)</f>
        <v>5</v>
      </c>
      <c r="C15" s="3">
        <f>COUNTIFS([1]汇总!Q$1:Q$65536,A15,[1]汇总!N$1:N$65536,"正式党员")</f>
        <v>5</v>
      </c>
      <c r="D15" s="3">
        <f>COUNTIFS([1]汇总!Q$1:Q$65536,A15,[1]汇总!N$1:N$65536,"预备党员")</f>
        <v>0</v>
      </c>
      <c r="E15" s="4">
        <f>COUNTIFS([1]汇总!Q$1:Q$65536,A15,[1]汇总!V$1:V$65536,"已入库")</f>
        <v>5</v>
      </c>
      <c r="F15" s="3">
        <f>COUNTIFS([1]汇总!Q$1:Q$65536,A15,[1]汇总!V$1:V$65536,"未入库")</f>
        <v>0</v>
      </c>
      <c r="G15" s="3">
        <f>COUNTIFS([1]汇总!Q$1:Q$65536,A15,[1]汇总!C$1:C$65536,"女")</f>
        <v>4</v>
      </c>
      <c r="H15" s="3">
        <f>COUNTIFS([1]汇总!Q$1:Q$65536,A15,[1]汇总!E$1:E$65536,"&lt;&gt;汉族")</f>
        <v>0</v>
      </c>
      <c r="I15" s="3">
        <f t="array" ref="I15">SUM(COUNTIFS([1]汇总!Q$1:Q$65536,A15,[1]汇总!F$1:F$65536,{"大专","大学","硕士","博士"}))</f>
        <v>5</v>
      </c>
      <c r="J15" s="3">
        <f>COUNTIFS([1]汇总!Q$1:Q$65536,A15,[1]汇总!K$1:K$65536,"*专业技术*")</f>
        <v>4</v>
      </c>
      <c r="K15" s="3">
        <f>COUNTIFS([1]汇总!Q$1:Q$65536,A15,[1]汇总!K$1:K$65536,"*管理*")</f>
        <v>1</v>
      </c>
      <c r="L15" s="3">
        <f>COUNTIFS([1]汇总!Q$1:Q$65536,A15,[1]汇总!K$1:K$65536,"*退休*")</f>
        <v>0</v>
      </c>
      <c r="M15" s="3">
        <f>COUNTIFS([1]汇总!Q$1:Q$65536,A15,[1]汇总!K$1:K$65536,"*无业*")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2025-11-07T14:48:57Z</dcterms:created>
  <dcterms:modified xsi:type="dcterms:W3CDTF">2025-11-07T14:49:47Z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112535EC1BA4429F9CF52088F1AB921D_11</vt:lpwstr>
  </property>
  <property fmtid="{D5CDD505-2E9C-101B-9397-08002B2CF9AE}" pid="3" name="KSOProductBuildVer">
    <vt:lpwstr>2052-12.1.0.23542</vt:lpwstr>
  </property>
</Properties>
</file>