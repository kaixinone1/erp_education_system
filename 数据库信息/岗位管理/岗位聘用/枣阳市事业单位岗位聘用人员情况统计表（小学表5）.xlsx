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255"/>
  </bookViews>
  <sheets>
    <sheet name="中学表6" sheetId="1" r:id="rId1"/>
    <sheet name="中学表5" sheetId="2" r:id="rId2"/>
    <sheet name="减员" sheetId="3" r:id="rId3"/>
    <sheet name="2024入职" sheetId="4" r:id="rId4"/>
  </sheets>
  <definedNames>
    <definedName name="_xlnm._FilterDatabase" localSheetId="0" hidden="1">中学表6!$A$1:$Q$1</definedName>
    <definedName name="_xlnm._FilterDatabase" localSheetId="2" hidden="1">减员!$A$1:$Q$17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<sst xmlns="http://schemas.openxmlformats.org/spreadsheetml/2006/main" count="457" uniqueCount="242">
  <si>
    <t>身份证号码</t>
  </si>
  <si>
    <t>序号</t>
  </si>
  <si>
    <t>姓名</t>
  </si>
  <si>
    <t>性别</t>
  </si>
  <si>
    <t>出生日期</t>
  </si>
  <si>
    <t>参加工作时间</t>
  </si>
  <si>
    <t>学历</t>
  </si>
  <si>
    <t>毕业时间</t>
  </si>
  <si>
    <t>2024已聘岗位名称</t>
  </si>
  <si>
    <t>2024已聘岗位等级</t>
  </si>
  <si>
    <t>聘用日期更新</t>
  </si>
  <si>
    <t>备注</t>
  </si>
  <si>
    <t>2019-2020乡村定向</t>
  </si>
  <si>
    <t>岗位</t>
  </si>
  <si>
    <t>2025年减员</t>
  </si>
  <si>
    <t>截止日期</t>
  </si>
  <si>
    <t>是否满3年</t>
  </si>
  <si>
    <t>是否聘用</t>
  </si>
  <si>
    <t>表5：           枣 阳 市 事 业 单 位 岗 位 聘 用 结 果 审 核 表</t>
  </si>
  <si>
    <t>填表单位（盖章）：太平镇中心学校（中学）            填表人：高书兵           电话：13476336928          填表日期：2024年4月1日</t>
  </si>
  <si>
    <t>单位全称</t>
  </si>
  <si>
    <t>太平镇中心学校</t>
  </si>
  <si>
    <t>机构规格</t>
  </si>
  <si>
    <t>股级</t>
  </si>
  <si>
    <t>经费形式</t>
  </si>
  <si>
    <t>财政拨款</t>
  </si>
  <si>
    <t>编制员额</t>
  </si>
  <si>
    <t>现有人员数</t>
  </si>
  <si>
    <t>岗位聘用情    况</t>
  </si>
  <si>
    <t>管理岗位</t>
  </si>
  <si>
    <t>合计</t>
  </si>
  <si>
    <t>等     级</t>
  </si>
  <si>
    <t>四</t>
  </si>
  <si>
    <t>五</t>
  </si>
  <si>
    <t>六</t>
  </si>
  <si>
    <t>七</t>
  </si>
  <si>
    <t>八</t>
  </si>
  <si>
    <t>九</t>
  </si>
  <si>
    <t>十</t>
  </si>
  <si>
    <t>核准岗位数</t>
  </si>
  <si>
    <t>聘用岗位数</t>
  </si>
  <si>
    <t>专业技术岗位</t>
  </si>
  <si>
    <t>等      级</t>
  </si>
  <si>
    <t>一</t>
  </si>
  <si>
    <t>二</t>
  </si>
  <si>
    <t>三</t>
  </si>
  <si>
    <t>十一</t>
  </si>
  <si>
    <t>十二</t>
  </si>
  <si>
    <t>十三</t>
  </si>
  <si>
    <t>不占岗聘用</t>
  </si>
  <si>
    <t>工勤技能岗位</t>
  </si>
  <si>
    <t>普通工</t>
  </si>
  <si>
    <t>审核备案意    见</t>
  </si>
  <si>
    <t>主管部门审核意见</t>
  </si>
  <si>
    <t>政府人事部门意见</t>
  </si>
  <si>
    <t xml:space="preserve">                       （盖章）</t>
  </si>
  <si>
    <t xml:space="preserve">                                   年    月    日</t>
  </si>
  <si>
    <t xml:space="preserve">                                       年    月    日</t>
  </si>
  <si>
    <t>填表说明</t>
  </si>
  <si>
    <t>1、本表用于事业单位岗位聘用审核认定；2、经费形式是指主要由财政拨款、部分支持和经费自理三种形式；3、编制员额是指机构编制部门核定的本单位人员编制数量；4、现有人员数是现有在册的正式工作人员数量；5、核准岗位数是指政府人社部门核准设置的各等级岗位的数量；6、聘用岗位数是指现已聘用的各级岗位的数量；7、本表一式三份，审核认定后政府人社部门、主管部门、事业单位各一份。</t>
  </si>
  <si>
    <t>郝洋</t>
  </si>
  <si>
    <t>12级调出</t>
  </si>
  <si>
    <t>汪慧</t>
  </si>
  <si>
    <t>王唯一</t>
  </si>
  <si>
    <t>填表单位（盖章）：太平镇中心学校（中学）            填表人：高书兵           电话：13476336928          填表日期：2025年1月1日</t>
  </si>
  <si>
    <t>张扬扬</t>
  </si>
  <si>
    <t>刘霞（小）</t>
  </si>
  <si>
    <t>王春平</t>
  </si>
  <si>
    <t>五级退休</t>
  </si>
  <si>
    <t>李秀兰</t>
  </si>
  <si>
    <t>七级退休</t>
  </si>
  <si>
    <t>郭宪锐</t>
  </si>
  <si>
    <t>七级不占岗</t>
  </si>
  <si>
    <t>项目</t>
  </si>
  <si>
    <t>退休</t>
  </si>
  <si>
    <t>不占岗退休</t>
  </si>
  <si>
    <t>调出</t>
  </si>
  <si>
    <t>姜海波、聂列群、黄吴锋</t>
  </si>
  <si>
    <t>转小学</t>
  </si>
  <si>
    <t>韩旭、杨慧林、王小云</t>
  </si>
  <si>
    <t>减员后聘用岗位数</t>
  </si>
  <si>
    <t>减员后不占岗聘用</t>
  </si>
  <si>
    <t>调入</t>
  </si>
  <si>
    <t>赵锋七岗调入</t>
  </si>
  <si>
    <t>小转中</t>
  </si>
  <si>
    <t>调整后聘用岗位数</t>
  </si>
  <si>
    <t>调整后不占岗聘用</t>
  </si>
  <si>
    <t>转正定级</t>
  </si>
  <si>
    <t>岗位等级变动-</t>
  </si>
  <si>
    <t>岗位等级变动+</t>
  </si>
  <si>
    <t>含赵锋</t>
  </si>
  <si>
    <t>职务晋升-</t>
  </si>
  <si>
    <t>职务晋升+</t>
  </si>
  <si>
    <t>3名八长七，11名19-20年绿通11升10</t>
  </si>
  <si>
    <t>上年未</t>
  </si>
  <si>
    <t>本年度聘用岗位数</t>
  </si>
  <si>
    <t>工勤岗位</t>
  </si>
  <si>
    <t>本年未空岗数</t>
  </si>
  <si>
    <t>总计</t>
  </si>
  <si>
    <t>本年初</t>
  </si>
  <si>
    <t>六升五</t>
  </si>
  <si>
    <t>七升六</t>
  </si>
  <si>
    <t>八升七</t>
  </si>
  <si>
    <t>九升八</t>
  </si>
  <si>
    <t>十升九</t>
  </si>
  <si>
    <t>11升十</t>
  </si>
  <si>
    <t>12升11</t>
  </si>
  <si>
    <t>13升12</t>
  </si>
  <si>
    <t>姜辉</t>
  </si>
  <si>
    <t>张兆霞</t>
  </si>
  <si>
    <t>肖兵</t>
  </si>
  <si>
    <t>王祥峰</t>
  </si>
  <si>
    <t>杜立刚</t>
  </si>
  <si>
    <t>龚中云</t>
  </si>
  <si>
    <t>唐源源</t>
  </si>
  <si>
    <t>孙增森</t>
  </si>
  <si>
    <t>王军锋</t>
  </si>
  <si>
    <t>夏兰华</t>
  </si>
  <si>
    <t>高琴</t>
  </si>
  <si>
    <t>王琦</t>
  </si>
  <si>
    <t>王芳</t>
  </si>
  <si>
    <t>王莹莹</t>
  </si>
  <si>
    <t>杨志</t>
  </si>
  <si>
    <t>杨丽</t>
  </si>
  <si>
    <t>崔欣</t>
  </si>
  <si>
    <t>赵庆华</t>
  </si>
  <si>
    <t>杨立梅</t>
  </si>
  <si>
    <t>杨华琴</t>
  </si>
  <si>
    <t>刘兰芳</t>
  </si>
  <si>
    <t>李明</t>
  </si>
  <si>
    <t>曹锋</t>
  </si>
  <si>
    <t>杨敏</t>
  </si>
  <si>
    <t>吴久丽</t>
  </si>
  <si>
    <t>柯坤</t>
  </si>
  <si>
    <t>高德全</t>
  </si>
  <si>
    <t>付海燕</t>
  </si>
  <si>
    <t>不占岗</t>
  </si>
  <si>
    <t>秦芳</t>
  </si>
  <si>
    <t>陈高华</t>
  </si>
  <si>
    <t>李茜</t>
  </si>
  <si>
    <t>刘旭</t>
  </si>
  <si>
    <t>杨云</t>
  </si>
  <si>
    <t>李本贵</t>
  </si>
  <si>
    <t>吕元群</t>
  </si>
  <si>
    <t>周春芬</t>
  </si>
  <si>
    <t>宋艳君</t>
  </si>
  <si>
    <t>张杰</t>
  </si>
  <si>
    <t>聂萍</t>
  </si>
  <si>
    <t>李朝晖</t>
  </si>
  <si>
    <t>王襄五郎</t>
  </si>
  <si>
    <t>张铁英</t>
  </si>
  <si>
    <t>赵锋</t>
  </si>
  <si>
    <t>姜高林</t>
  </si>
  <si>
    <t>王青超</t>
  </si>
  <si>
    <t>秦桂梅</t>
  </si>
  <si>
    <t>刘雪</t>
  </si>
  <si>
    <t>聂艳华</t>
  </si>
  <si>
    <t>闫朝阳</t>
  </si>
  <si>
    <t>徐静</t>
  </si>
  <si>
    <t>白书婧</t>
  </si>
  <si>
    <t>刘倩</t>
  </si>
  <si>
    <t>陶晓蕊</t>
  </si>
  <si>
    <t>王婷</t>
  </si>
  <si>
    <t>袁明道</t>
  </si>
  <si>
    <t>景沈越</t>
  </si>
  <si>
    <t>马玲玲</t>
  </si>
  <si>
    <t>张颖超</t>
  </si>
  <si>
    <t>张珊</t>
  </si>
  <si>
    <t>叶琳莹</t>
  </si>
  <si>
    <t>魏涛</t>
  </si>
  <si>
    <t>李波</t>
  </si>
  <si>
    <t>朱剑萍</t>
  </si>
  <si>
    <t>胡亚玲</t>
  </si>
  <si>
    <t>黄源</t>
  </si>
  <si>
    <t>秦雨辰</t>
  </si>
  <si>
    <t>7选5</t>
  </si>
  <si>
    <t>8选8</t>
  </si>
  <si>
    <t>3选3</t>
  </si>
  <si>
    <t>6选6</t>
  </si>
  <si>
    <t>11选11</t>
  </si>
  <si>
    <t>26选12</t>
  </si>
  <si>
    <t>420683197207014914</t>
  </si>
  <si>
    <t>姜海波</t>
  </si>
  <si>
    <t>男</t>
  </si>
  <si>
    <t>本科</t>
  </si>
  <si>
    <t>高级教师</t>
  </si>
  <si>
    <t>六级专技</t>
  </si>
  <si>
    <t>420683197208112516</t>
  </si>
  <si>
    <t>聂列群</t>
  </si>
  <si>
    <t>420683198012050039</t>
  </si>
  <si>
    <t>黄吴锋</t>
  </si>
  <si>
    <t>二级教师</t>
  </si>
  <si>
    <t>11级专技</t>
  </si>
  <si>
    <t>2023.01</t>
  </si>
  <si>
    <t>中级</t>
  </si>
  <si>
    <t>420683199404280962</t>
  </si>
  <si>
    <t>马迪</t>
  </si>
  <si>
    <t>女</t>
  </si>
  <si>
    <t>12级专技</t>
  </si>
  <si>
    <t>420683198909250342</t>
  </si>
  <si>
    <t>李连玲</t>
  </si>
  <si>
    <t>420683199511105465</t>
  </si>
  <si>
    <t>孙晓君</t>
  </si>
  <si>
    <t>422823199411120226</t>
  </si>
  <si>
    <t>杨静</t>
  </si>
  <si>
    <t>420683196408202140</t>
  </si>
  <si>
    <t>高桂华</t>
  </si>
  <si>
    <t>五级专技</t>
  </si>
  <si>
    <t>延迟</t>
  </si>
  <si>
    <t>420683196401252516</t>
  </si>
  <si>
    <t>金毅</t>
  </si>
  <si>
    <t>专科</t>
  </si>
  <si>
    <t>七级专技</t>
  </si>
  <si>
    <t>2022.02</t>
  </si>
  <si>
    <t>420622197007101869</t>
  </si>
  <si>
    <t>任英</t>
  </si>
  <si>
    <t>429003196906254940</t>
  </si>
  <si>
    <t>陈红</t>
  </si>
  <si>
    <t>420683196710202563</t>
  </si>
  <si>
    <t>申桂清</t>
  </si>
  <si>
    <t>2021.04</t>
  </si>
  <si>
    <t>42068319690105214X</t>
  </si>
  <si>
    <t>郭桂勤</t>
  </si>
  <si>
    <t>420683197004212144</t>
  </si>
  <si>
    <t>韩旭</t>
  </si>
  <si>
    <t>中转小</t>
  </si>
  <si>
    <t>420683198411070029</t>
  </si>
  <si>
    <t>杨慧林</t>
  </si>
  <si>
    <t>2017.09</t>
  </si>
  <si>
    <t>420683198105040067</t>
  </si>
  <si>
    <t>王小云</t>
  </si>
  <si>
    <t>420683200002017227</t>
  </si>
  <si>
    <t>周怡欣</t>
  </si>
  <si>
    <t>三级教师</t>
  </si>
  <si>
    <t>新录聘</t>
  </si>
  <si>
    <t>不聘</t>
  </si>
  <si>
    <t>341203199612261536</t>
  </si>
  <si>
    <t>李恩源</t>
  </si>
  <si>
    <t>420683199802180043</t>
  </si>
  <si>
    <t>邹言蕾</t>
  </si>
  <si>
    <t>420683200103152145</t>
  </si>
  <si>
    <t>吴董燕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</si>
</sst>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"/>
    <numFmt numFmtId="177" formatCode="[$-409]yyyy/mm/dd;@"/>
  </numFmts>
  <fonts count="35">
    <font>
      <sz val="11"/>
      <color theme="1"/>
      <name val="宋体"/>
      <charset val="134"/>
    </font>
    <font>
      <sz val="10"/>
      <color theme="1"/>
      <name val="宋体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sz val="10"/>
      <color rgb="FFFF0000"/>
      <name val="宋体"/>
      <charset val="134"/>
    </font>
    <font>
      <sz val="18"/>
      <name val="黑体"/>
      <charset val="134"/>
    </font>
    <font>
      <sz val="10"/>
      <name val="仿宋_GB2312"/>
      <charset val="134"/>
    </font>
    <font>
      <sz val="9"/>
      <name val="仿宋_GB2312"/>
      <charset val="134"/>
    </font>
    <font>
      <sz val="10"/>
      <color rgb="FF00B0F0"/>
      <name val="宋体"/>
      <charset val="134"/>
    </font>
    <font>
      <sz val="12"/>
      <color rgb="FF000000"/>
      <name val="仿宋"/>
      <charset val="134"/>
    </font>
    <font>
      <sz val="9"/>
      <color rgb="FF000000"/>
      <name val="仿宋"/>
      <charset val="134"/>
    </font>
    <font>
      <sz val="11"/>
      <color rgb="FFFF0000"/>
      <name val="宋体"/>
      <charset val="134"/>
    </font>
    <font>
      <sz val="8"/>
      <color rgb="FFFF0000"/>
      <name val="宋体"/>
      <charset val="134"/>
    </font>
    <font>
      <sz val="9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4" borderId="1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17" applyNumberFormat="0" applyAlignment="0" applyProtection="0">
      <alignment vertical="center"/>
    </xf>
    <xf numFmtId="0" fontId="24" fillId="6" borderId="18" applyNumberFormat="0" applyAlignment="0" applyProtection="0">
      <alignment vertical="center"/>
    </xf>
    <xf numFmtId="0" fontId="25" fillId="6" borderId="17" applyNumberFormat="0" applyAlignment="0" applyProtection="0">
      <alignment vertical="center"/>
    </xf>
    <xf numFmtId="0" fontId="26" fillId="7" borderId="19" applyNumberFormat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</cellStyleXfs>
  <cellXfs count="8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76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/>
    </xf>
    <xf numFmtId="176" fontId="1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 wrapText="1"/>
    </xf>
    <xf numFmtId="176" fontId="2" fillId="0" borderId="0" xfId="0" applyNumberFormat="1" applyFont="1" applyAlignment="1">
      <alignment horizontal="right" vertical="center"/>
    </xf>
    <xf numFmtId="176" fontId="2" fillId="0" borderId="0" xfId="0" applyNumberFormat="1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/>
    </xf>
    <xf numFmtId="0" fontId="1" fillId="0" borderId="0" xfId="50" applyFont="1" applyAlignment="1">
      <alignment horizontal="center" vertical="center" wrapText="1"/>
    </xf>
    <xf numFmtId="0" fontId="2" fillId="0" borderId="0" xfId="50" applyFont="1" applyAlignment="1">
      <alignment horizontal="center" vertical="center" wrapText="1"/>
    </xf>
    <xf numFmtId="176" fontId="2" fillId="0" borderId="0" xfId="50" applyNumberFormat="1" applyFont="1" applyAlignment="1">
      <alignment horizontal="right" vertical="center" wrapText="1"/>
    </xf>
    <xf numFmtId="176" fontId="2" fillId="0" borderId="0" xfId="50" applyNumberFormat="1" applyFont="1" applyAlignment="1">
      <alignment horizontal="center" vertical="center" wrapText="1"/>
    </xf>
    <xf numFmtId="0" fontId="2" fillId="0" borderId="0" xfId="50" applyFont="1" applyAlignment="1">
      <alignment horizontal="center" vertical="center"/>
    </xf>
    <xf numFmtId="176" fontId="3" fillId="0" borderId="0" xfId="0" applyNumberFormat="1" applyFont="1" applyAlignment="1">
      <alignment horizontal="right" vertical="center"/>
    </xf>
    <xf numFmtId="176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" fillId="0" borderId="1" xfId="49" applyFont="1" applyBorder="1" applyAlignment="1">
      <alignment horizontal="left" vertical="center"/>
    </xf>
    <xf numFmtId="0" fontId="6" fillId="0" borderId="1" xfId="49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justify" vertical="center" wrapText="1"/>
    </xf>
    <xf numFmtId="0" fontId="6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6" xfId="0" applyBorder="1" applyAlignment="1">
      <alignment horizontal="right" vertical="center"/>
    </xf>
    <xf numFmtId="0" fontId="0" fillId="0" borderId="11" xfId="0" applyBorder="1" applyAlignment="1">
      <alignment horizontal="right" vertical="center"/>
    </xf>
    <xf numFmtId="0" fontId="0" fillId="0" borderId="0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0" borderId="0" xfId="0" applyFill="1" applyBorder="1">
      <alignment vertical="center"/>
    </xf>
    <xf numFmtId="0" fontId="13" fillId="0" borderId="0" xfId="0" applyFont="1" applyAlignment="1">
      <alignment horizontal="center" vertical="center"/>
    </xf>
    <xf numFmtId="0" fontId="0" fillId="0" borderId="7" xfId="0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7" fontId="1" fillId="0" borderId="0" xfId="0" applyNumberFormat="1" applyFont="1">
      <alignment vertical="center"/>
    </xf>
    <xf numFmtId="177" fontId="1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 quotePrefix="1">
      <alignment horizontal="center"/>
    </xf>
    <xf numFmtId="0" fontId="2" fillId="0" borderId="0" xfId="0" applyFont="1" applyAlignment="1" quotePrefix="1">
      <alignment horizontal="center"/>
    </xf>
    <xf numFmtId="0" fontId="1" fillId="0" borderId="0" xfId="0" applyFont="1" applyAlignment="1" quotePrefix="1">
      <alignment horizont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2 2" xfId="49"/>
    <cellStyle name="常规 4 5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R3"/>
  <sheetViews>
    <sheetView tabSelected="1" workbookViewId="0">
      <pane xSplit="3" ySplit="1" topLeftCell="D2" activePane="bottomRight" state="frozen"/>
      <selection/>
      <selection pane="topRight"/>
      <selection pane="bottomLeft"/>
      <selection pane="bottomRight" activeCell="M19" sqref="M19"/>
    </sheetView>
  </sheetViews>
  <sheetFormatPr defaultColWidth="9" defaultRowHeight="12" outlineLevelRow="2"/>
  <cols>
    <col min="1" max="1" width="20" style="1" customWidth="1"/>
    <col min="2" max="2" width="4.90833333333333" style="1" customWidth="1"/>
    <col min="3" max="4" width="8.725" style="1"/>
    <col min="5" max="5" width="12.3666666666667" style="83" customWidth="1"/>
    <col min="6" max="6" width="13.725" style="83" customWidth="1"/>
    <col min="7" max="7" width="8.725" style="1"/>
    <col min="8" max="8" width="15.3666666666667" style="84" customWidth="1"/>
    <col min="9" max="9" width="16.2666666666667" style="2" customWidth="1"/>
    <col min="10" max="10" width="16.2666666666667" style="1" customWidth="1"/>
    <col min="11" max="11" width="13.5416666666667" style="1" customWidth="1"/>
    <col min="12" max="12" width="17.125" style="2" customWidth="1"/>
    <col min="13" max="13" width="18" style="1" customWidth="1"/>
    <col min="14" max="14" width="6.725" style="1" customWidth="1"/>
    <col min="15" max="15" width="12.3666666666667" style="1" customWidth="1"/>
    <col min="16" max="16" width="12.5416666666667" style="1" customWidth="1"/>
    <col min="17" max="17" width="13.0916666666667" style="1" customWidth="1"/>
    <col min="18" max="16384" width="8.725" style="1"/>
  </cols>
  <sheetData>
    <row r="1" s="2" customFormat="1" spans="1:18">
      <c r="A1" s="9" t="s">
        <v>0</v>
      </c>
      <c r="B1" s="10" t="s">
        <v>1</v>
      </c>
      <c r="C1" s="10" t="s">
        <v>2</v>
      </c>
      <c r="D1" s="10" t="s">
        <v>3</v>
      </c>
      <c r="E1" s="85" t="s">
        <v>4</v>
      </c>
      <c r="F1" s="85" t="s">
        <v>5</v>
      </c>
      <c r="G1" s="10" t="s">
        <v>6</v>
      </c>
      <c r="H1" s="85" t="s">
        <v>7</v>
      </c>
      <c r="I1" s="10" t="s">
        <v>8</v>
      </c>
      <c r="J1" s="10" t="s">
        <v>9</v>
      </c>
      <c r="K1" s="9" t="s">
        <v>10</v>
      </c>
      <c r="L1" s="2" t="s">
        <v>11</v>
      </c>
      <c r="M1" s="2" t="s">
        <v>12</v>
      </c>
      <c r="N1" s="2" t="s">
        <v>13</v>
      </c>
      <c r="O1" s="9" t="s">
        <v>14</v>
      </c>
      <c r="P1" s="9" t="s">
        <v>15</v>
      </c>
      <c r="Q1" s="9" t="s">
        <v>16</v>
      </c>
      <c r="R1" s="2" t="s">
        <v>17</v>
      </c>
    </row>
    <row r="2" spans="1:17">
      <c r="A2" s="2"/>
      <c r="B2" s="3"/>
      <c r="C2" s="4"/>
      <c r="D2" s="2"/>
      <c r="G2" s="6"/>
      <c r="J2" s="6"/>
      <c r="K2" s="86"/>
      <c r="L2" s="1"/>
      <c r="P2" s="2"/>
      <c r="Q2" s="2"/>
    </row>
    <row r="3" spans="1:17">
      <c r="A3" s="2"/>
      <c r="B3" s="3"/>
      <c r="C3" s="4"/>
      <c r="D3" s="2"/>
      <c r="G3" s="6"/>
      <c r="J3" s="6"/>
      <c r="K3" s="2"/>
      <c r="L3" s="1"/>
      <c r="P3" s="2"/>
      <c r="Q3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F96"/>
  <sheetViews>
    <sheetView showZeros="0" workbookViewId="0">
      <selection activeCell="N9" sqref="N9:N10"/>
    </sheetView>
  </sheetViews>
  <sheetFormatPr defaultColWidth="9.81666666666667" defaultRowHeight="13.5"/>
  <cols>
    <col min="1" max="1" width="9.26666666666667" customWidth="1"/>
    <col min="2" max="2" width="5.81666666666667" customWidth="1"/>
    <col min="3" max="3" width="6.54166666666667" customWidth="1"/>
    <col min="4" max="4" width="15.3666666666667" customWidth="1"/>
    <col min="5" max="5" width="6.36666666666667" customWidth="1"/>
    <col min="6" max="6" width="4.18333333333333" customWidth="1"/>
    <col min="7" max="7" width="4.36666666666667" customWidth="1"/>
    <col min="8" max="8" width="4.44166666666667" customWidth="1"/>
    <col min="9" max="9" width="3.09166666666667" customWidth="1"/>
    <col min="10" max="10" width="15.9083333333333" customWidth="1"/>
    <col min="11" max="11" width="2.725" customWidth="1"/>
    <col min="12" max="12" width="4.63333333333333" customWidth="1"/>
    <col min="13" max="13" width="7.36666666666667" customWidth="1"/>
    <col min="14" max="14" width="6.90833333333333" customWidth="1"/>
    <col min="15" max="16" width="6.81666666666667" customWidth="1"/>
    <col min="17" max="17" width="6" customWidth="1"/>
    <col min="18" max="18" width="3.63333333333333" customWidth="1"/>
    <col min="19" max="19" width="4.36666666666667" customWidth="1"/>
    <col min="20" max="20" width="7.36666666666667" customWidth="1"/>
    <col min="23" max="23" width="7.81666666666667" customWidth="1"/>
    <col min="24" max="24" width="9.725" customWidth="1"/>
    <col min="25" max="25" width="5.44166666666667" customWidth="1"/>
    <col min="26" max="26" width="6.725" customWidth="1"/>
    <col min="27" max="27" width="8.54166666666667" customWidth="1"/>
    <col min="28" max="28" width="5.44166666666667" customWidth="1"/>
    <col min="29" max="29" width="6.54166666666667" customWidth="1"/>
    <col min="30" max="30" width="4.44166666666667" customWidth="1"/>
    <col min="31" max="34" width="6.725" customWidth="1"/>
    <col min="35" max="35" width="4.90833333333333" customWidth="1"/>
    <col min="36" max="36" width="6.725" customWidth="1"/>
    <col min="37" max="37" width="7.81666666666667" customWidth="1"/>
    <col min="38" max="38" width="19.2666666666667" customWidth="1"/>
    <col min="39" max="39" width="46.5416666666667" customWidth="1"/>
  </cols>
  <sheetData>
    <row r="1" ht="22.5" spans="1:21">
      <c r="A1" s="26" t="s">
        <v>18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</row>
    <row r="2" s="24" customFormat="1" ht="12" spans="1:21">
      <c r="A2" s="27" t="s">
        <v>19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</row>
    <row r="3" s="24" customFormat="1" ht="12" spans="1:21">
      <c r="A3" s="29" t="s">
        <v>20</v>
      </c>
      <c r="B3" s="29" t="s">
        <v>21</v>
      </c>
      <c r="C3" s="29"/>
      <c r="D3" s="29"/>
      <c r="E3" s="29" t="s">
        <v>22</v>
      </c>
      <c r="F3" s="29"/>
      <c r="G3" s="29" t="s">
        <v>23</v>
      </c>
      <c r="H3" s="29"/>
      <c r="I3" s="29" t="s">
        <v>24</v>
      </c>
      <c r="J3" s="29"/>
      <c r="K3" s="29"/>
      <c r="L3" s="29" t="s">
        <v>25</v>
      </c>
      <c r="M3" s="29"/>
      <c r="N3" s="29" t="s">
        <v>26</v>
      </c>
      <c r="O3" s="29"/>
      <c r="P3" s="29">
        <v>238</v>
      </c>
      <c r="Q3" s="29"/>
      <c r="R3" s="29" t="s">
        <v>27</v>
      </c>
      <c r="S3" s="29"/>
      <c r="T3" s="29"/>
      <c r="U3" s="29">
        <f>C6+C9+C10+C13</f>
        <v>199</v>
      </c>
    </row>
    <row r="4" s="24" customFormat="1" ht="12" spans="1:21">
      <c r="A4" s="30" t="s">
        <v>28</v>
      </c>
      <c r="B4" s="29" t="s">
        <v>29</v>
      </c>
      <c r="C4" s="29" t="s">
        <v>30</v>
      </c>
      <c r="D4" s="29" t="s">
        <v>31</v>
      </c>
      <c r="E4" s="29" t="s">
        <v>32</v>
      </c>
      <c r="F4" s="29"/>
      <c r="G4" s="29"/>
      <c r="H4" s="29" t="s">
        <v>33</v>
      </c>
      <c r="I4" s="29"/>
      <c r="J4" s="29"/>
      <c r="K4" s="29" t="s">
        <v>34</v>
      </c>
      <c r="L4" s="29"/>
      <c r="M4" s="29"/>
      <c r="N4" s="29" t="s">
        <v>35</v>
      </c>
      <c r="O4" s="29"/>
      <c r="P4" s="29" t="s">
        <v>36</v>
      </c>
      <c r="Q4" s="29"/>
      <c r="R4" s="29" t="s">
        <v>37</v>
      </c>
      <c r="S4" s="29"/>
      <c r="T4" s="29"/>
      <c r="U4" s="29" t="s">
        <v>38</v>
      </c>
    </row>
    <row r="5" s="24" customFormat="1" ht="12" spans="1:21">
      <c r="A5" s="31"/>
      <c r="B5" s="29"/>
      <c r="C5" s="29">
        <v>10</v>
      </c>
      <c r="D5" s="29" t="s">
        <v>39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>
        <v>10</v>
      </c>
      <c r="S5" s="29"/>
      <c r="T5" s="29"/>
      <c r="U5" s="29"/>
    </row>
    <row r="6" s="24" customFormat="1" ht="12" spans="1:21">
      <c r="A6" s="31"/>
      <c r="B6" s="29"/>
      <c r="C6" s="29">
        <v>1</v>
      </c>
      <c r="D6" s="29" t="s">
        <v>40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>
        <v>1</v>
      </c>
      <c r="S6" s="29"/>
      <c r="T6" s="29"/>
      <c r="U6" s="29"/>
    </row>
    <row r="7" s="24" customFormat="1" ht="12" spans="1:21">
      <c r="A7" s="31"/>
      <c r="B7" s="30" t="s">
        <v>41</v>
      </c>
      <c r="C7" s="29" t="s">
        <v>30</v>
      </c>
      <c r="D7" s="29" t="s">
        <v>42</v>
      </c>
      <c r="E7" s="29" t="s">
        <v>43</v>
      </c>
      <c r="F7" s="29" t="s">
        <v>44</v>
      </c>
      <c r="G7" s="29"/>
      <c r="H7" s="29" t="s">
        <v>45</v>
      </c>
      <c r="I7" s="29"/>
      <c r="J7" s="29" t="s">
        <v>32</v>
      </c>
      <c r="K7" s="29" t="s">
        <v>33</v>
      </c>
      <c r="L7" s="29"/>
      <c r="M7" s="29" t="s">
        <v>34</v>
      </c>
      <c r="N7" s="29" t="s">
        <v>35</v>
      </c>
      <c r="O7" s="29" t="s">
        <v>36</v>
      </c>
      <c r="P7" s="29" t="s">
        <v>37</v>
      </c>
      <c r="Q7" s="29" t="s">
        <v>38</v>
      </c>
      <c r="R7" s="29" t="s">
        <v>46</v>
      </c>
      <c r="S7" s="29"/>
      <c r="T7" s="29" t="s">
        <v>47</v>
      </c>
      <c r="U7" s="29" t="s">
        <v>48</v>
      </c>
    </row>
    <row r="8" s="24" customFormat="1" ht="12" spans="1:21">
      <c r="A8" s="31"/>
      <c r="B8" s="31"/>
      <c r="C8" s="29">
        <v>226</v>
      </c>
      <c r="D8" s="29" t="s">
        <v>39</v>
      </c>
      <c r="E8" s="29"/>
      <c r="F8" s="29"/>
      <c r="G8" s="29"/>
      <c r="H8" s="29"/>
      <c r="I8" s="29"/>
      <c r="J8" s="29">
        <v>2</v>
      </c>
      <c r="K8" s="29">
        <v>10</v>
      </c>
      <c r="L8" s="29"/>
      <c r="M8" s="29">
        <v>19</v>
      </c>
      <c r="N8" s="29">
        <v>19</v>
      </c>
      <c r="O8" s="29">
        <v>31</v>
      </c>
      <c r="P8" s="29">
        <v>42</v>
      </c>
      <c r="Q8" s="29">
        <v>31</v>
      </c>
      <c r="R8" s="29">
        <v>36</v>
      </c>
      <c r="S8" s="29"/>
      <c r="T8" s="29">
        <v>36</v>
      </c>
      <c r="U8" s="29"/>
    </row>
    <row r="9" s="24" customFormat="1" ht="12" spans="1:21">
      <c r="A9" s="31"/>
      <c r="B9" s="31"/>
      <c r="C9" s="29">
        <v>191</v>
      </c>
      <c r="D9" s="29" t="s">
        <v>40</v>
      </c>
      <c r="E9" s="29"/>
      <c r="F9" s="29"/>
      <c r="G9" s="29"/>
      <c r="H9" s="29"/>
      <c r="I9" s="29"/>
      <c r="J9" s="29"/>
      <c r="K9" s="29">
        <v>7</v>
      </c>
      <c r="L9" s="29"/>
      <c r="M9" s="29">
        <v>18</v>
      </c>
      <c r="N9" s="29">
        <v>14</v>
      </c>
      <c r="O9" s="29">
        <v>30</v>
      </c>
      <c r="P9" s="29">
        <v>22</v>
      </c>
      <c r="Q9" s="29">
        <v>25</v>
      </c>
      <c r="R9" s="29">
        <v>36</v>
      </c>
      <c r="S9" s="29"/>
      <c r="T9" s="29">
        <v>39</v>
      </c>
      <c r="U9" s="29"/>
    </row>
    <row r="10" s="24" customFormat="1" ht="12" spans="1:21">
      <c r="A10" s="31"/>
      <c r="B10" s="32"/>
      <c r="C10" s="29">
        <v>5</v>
      </c>
      <c r="D10" s="29" t="s">
        <v>49</v>
      </c>
      <c r="E10" s="29"/>
      <c r="F10" s="33"/>
      <c r="G10" s="34"/>
      <c r="H10" s="33"/>
      <c r="I10" s="34"/>
      <c r="J10" s="29"/>
      <c r="K10" s="33"/>
      <c r="L10" s="34"/>
      <c r="M10" s="29"/>
      <c r="N10" s="29">
        <v>5</v>
      </c>
      <c r="O10" s="29"/>
      <c r="P10" s="29"/>
      <c r="Q10" s="29"/>
      <c r="R10" s="33"/>
      <c r="S10" s="34"/>
      <c r="T10" s="29"/>
      <c r="U10" s="29"/>
    </row>
    <row r="11" s="24" customFormat="1" ht="12" spans="1:21">
      <c r="A11" s="31"/>
      <c r="B11" s="29" t="s">
        <v>50</v>
      </c>
      <c r="C11" s="29" t="s">
        <v>30</v>
      </c>
      <c r="D11" s="29" t="s">
        <v>42</v>
      </c>
      <c r="E11" s="29" t="s">
        <v>43</v>
      </c>
      <c r="F11" s="29"/>
      <c r="G11" s="29"/>
      <c r="H11" s="29" t="s">
        <v>44</v>
      </c>
      <c r="I11" s="29"/>
      <c r="J11" s="29"/>
      <c r="K11" s="29" t="s">
        <v>45</v>
      </c>
      <c r="L11" s="29"/>
      <c r="M11" s="29"/>
      <c r="N11" s="29" t="s">
        <v>32</v>
      </c>
      <c r="O11" s="29"/>
      <c r="P11" s="29" t="s">
        <v>33</v>
      </c>
      <c r="Q11" s="29"/>
      <c r="R11" s="29"/>
      <c r="S11" s="29" t="s">
        <v>51</v>
      </c>
      <c r="T11" s="29"/>
      <c r="U11" s="29"/>
    </row>
    <row r="12" s="24" customFormat="1" ht="12" spans="1:21">
      <c r="A12" s="31"/>
      <c r="B12" s="29"/>
      <c r="C12" s="29">
        <v>2</v>
      </c>
      <c r="D12" s="29" t="s">
        <v>39</v>
      </c>
      <c r="E12" s="29"/>
      <c r="F12" s="29"/>
      <c r="G12" s="29"/>
      <c r="H12" s="29"/>
      <c r="I12" s="29"/>
      <c r="J12" s="29"/>
      <c r="K12" s="29">
        <v>1</v>
      </c>
      <c r="L12" s="29"/>
      <c r="M12" s="29"/>
      <c r="N12" s="29"/>
      <c r="O12" s="29"/>
      <c r="P12" s="29">
        <v>1</v>
      </c>
      <c r="Q12" s="29"/>
      <c r="R12" s="29"/>
      <c r="S12" s="29"/>
      <c r="T12" s="29"/>
      <c r="U12" s="29"/>
    </row>
    <row r="13" s="24" customFormat="1" ht="12" spans="1:21">
      <c r="A13" s="32"/>
      <c r="B13" s="29"/>
      <c r="C13" s="29">
        <v>2</v>
      </c>
      <c r="D13" s="29" t="s">
        <v>40</v>
      </c>
      <c r="E13" s="29"/>
      <c r="F13" s="29"/>
      <c r="G13" s="29"/>
      <c r="H13" s="29">
        <v>1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>
        <v>1</v>
      </c>
      <c r="T13" s="29"/>
      <c r="U13" s="29"/>
    </row>
    <row r="14" s="24" customFormat="1" ht="12" spans="1:21">
      <c r="A14" s="29" t="s">
        <v>52</v>
      </c>
      <c r="B14" s="29" t="s">
        <v>53</v>
      </c>
      <c r="C14" s="29"/>
      <c r="D14" s="29"/>
      <c r="E14" s="29"/>
      <c r="F14" s="29"/>
      <c r="G14" s="29"/>
      <c r="H14" s="29"/>
      <c r="I14" s="29"/>
      <c r="J14" s="29"/>
      <c r="K14" s="29" t="s">
        <v>54</v>
      </c>
      <c r="L14" s="29"/>
      <c r="M14" s="29"/>
      <c r="N14" s="29"/>
      <c r="O14" s="29"/>
      <c r="P14" s="29"/>
      <c r="Q14" s="29"/>
      <c r="R14" s="29"/>
      <c r="S14" s="29"/>
      <c r="T14" s="29"/>
      <c r="U14" s="29"/>
    </row>
    <row r="15" s="24" customFormat="1" ht="12" spans="1:21">
      <c r="A15" s="29"/>
      <c r="B15" s="35"/>
      <c r="C15" s="36"/>
      <c r="D15" s="36"/>
      <c r="E15" s="36"/>
      <c r="F15" s="36"/>
      <c r="G15" s="36"/>
      <c r="H15" s="36"/>
      <c r="I15" s="36"/>
      <c r="J15" s="49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</row>
    <row r="16" s="24" customFormat="1" ht="12" spans="1:21">
      <c r="A16" s="29"/>
      <c r="B16" s="37"/>
      <c r="C16" s="38"/>
      <c r="D16" s="38"/>
      <c r="E16" s="38"/>
      <c r="F16" s="38"/>
      <c r="G16" s="38"/>
      <c r="H16" s="38"/>
      <c r="I16" s="38"/>
      <c r="J16" s="50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</row>
    <row r="17" s="24" customFormat="1" ht="12" spans="1:21">
      <c r="A17" s="29"/>
      <c r="B17" s="37"/>
      <c r="C17" s="38"/>
      <c r="D17" s="38"/>
      <c r="E17" s="38"/>
      <c r="F17" s="38"/>
      <c r="G17" s="38"/>
      <c r="H17" s="38"/>
      <c r="I17" s="38"/>
      <c r="J17" s="50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</row>
    <row r="18" s="24" customFormat="1" ht="12" spans="1:21">
      <c r="A18" s="29"/>
      <c r="B18" s="37"/>
      <c r="C18" s="38"/>
      <c r="D18" s="38"/>
      <c r="E18" s="38"/>
      <c r="F18" s="38"/>
      <c r="G18" s="38"/>
      <c r="H18" s="38"/>
      <c r="I18" s="38"/>
      <c r="J18" s="50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</row>
    <row r="19" s="24" customFormat="1" ht="12" spans="1:21">
      <c r="A19" s="29"/>
      <c r="B19" s="37"/>
      <c r="C19" s="38"/>
      <c r="D19" s="38"/>
      <c r="E19" s="38"/>
      <c r="F19" s="38"/>
      <c r="G19" s="38"/>
      <c r="H19" s="38"/>
      <c r="I19" s="38"/>
      <c r="J19" s="50"/>
      <c r="K19" s="31" t="s">
        <v>55</v>
      </c>
      <c r="L19" s="31"/>
      <c r="M19" s="31"/>
      <c r="N19" s="31"/>
      <c r="O19" s="31"/>
      <c r="P19" s="31"/>
      <c r="Q19" s="31"/>
      <c r="R19" s="31"/>
      <c r="S19" s="31"/>
      <c r="T19" s="31"/>
      <c r="U19" s="31"/>
    </row>
    <row r="20" s="24" customFormat="1" ht="12" spans="1:21">
      <c r="A20" s="29"/>
      <c r="B20" s="32" t="s">
        <v>56</v>
      </c>
      <c r="C20" s="32"/>
      <c r="D20" s="32"/>
      <c r="E20" s="32"/>
      <c r="F20" s="32"/>
      <c r="G20" s="32"/>
      <c r="H20" s="32"/>
      <c r="I20" s="32"/>
      <c r="J20" s="32"/>
      <c r="K20" s="32" t="s">
        <v>57</v>
      </c>
      <c r="L20" s="32"/>
      <c r="M20" s="32"/>
      <c r="N20" s="32"/>
      <c r="O20" s="32"/>
      <c r="P20" s="32"/>
      <c r="Q20" s="32"/>
      <c r="R20" s="32"/>
      <c r="S20" s="32"/>
      <c r="T20" s="32"/>
      <c r="U20" s="32"/>
    </row>
    <row r="21" s="24" customFormat="1" ht="12" spans="1:21">
      <c r="A21" s="29" t="s">
        <v>58</v>
      </c>
      <c r="B21" s="39" t="s">
        <v>59</v>
      </c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59"/>
    </row>
    <row r="22" ht="14" hidden="1" customHeight="1" spans="26:32">
      <c r="Z22" s="69" t="s">
        <v>60</v>
      </c>
      <c r="AA22" s="69" t="s">
        <v>61</v>
      </c>
      <c r="AF22" s="24"/>
    </row>
    <row r="23" ht="14.25" hidden="1" spans="26:27">
      <c r="Z23" s="69" t="s">
        <v>62</v>
      </c>
      <c r="AA23" s="69" t="s">
        <v>61</v>
      </c>
    </row>
    <row r="24" ht="22.5" hidden="1" spans="1:27">
      <c r="A24" s="26" t="s">
        <v>18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Z24" s="69" t="s">
        <v>63</v>
      </c>
      <c r="AA24" s="69" t="s">
        <v>61</v>
      </c>
    </row>
    <row r="25" ht="14.25" hidden="1" spans="1:27">
      <c r="A25" s="27" t="s">
        <v>64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Z25" s="69" t="s">
        <v>65</v>
      </c>
      <c r="AA25" s="69" t="s">
        <v>61</v>
      </c>
    </row>
    <row r="26" ht="14.25" hidden="1" spans="1:27">
      <c r="A26" s="29" t="s">
        <v>20</v>
      </c>
      <c r="B26" s="29" t="s">
        <v>21</v>
      </c>
      <c r="C26" s="29"/>
      <c r="D26" s="29"/>
      <c r="E26" s="29" t="s">
        <v>22</v>
      </c>
      <c r="F26" s="29"/>
      <c r="G26" s="29" t="s">
        <v>23</v>
      </c>
      <c r="H26" s="29"/>
      <c r="I26" s="29" t="s">
        <v>24</v>
      </c>
      <c r="J26" s="29"/>
      <c r="K26" s="29"/>
      <c r="L26" s="29" t="s">
        <v>25</v>
      </c>
      <c r="M26" s="29"/>
      <c r="N26" s="29" t="s">
        <v>26</v>
      </c>
      <c r="O26" s="29"/>
      <c r="P26" s="29">
        <v>238</v>
      </c>
      <c r="Q26" s="29"/>
      <c r="R26" s="29" t="s">
        <v>27</v>
      </c>
      <c r="S26" s="29"/>
      <c r="T26" s="29"/>
      <c r="U26" s="29">
        <v>199</v>
      </c>
      <c r="Z26" s="70" t="s">
        <v>66</v>
      </c>
      <c r="AA26" s="69" t="s">
        <v>61</v>
      </c>
    </row>
    <row r="27" ht="14.25" hidden="1" spans="1:28">
      <c r="A27" s="30" t="s">
        <v>28</v>
      </c>
      <c r="B27" s="29" t="s">
        <v>29</v>
      </c>
      <c r="C27" s="29" t="s">
        <v>30</v>
      </c>
      <c r="D27" s="29" t="s">
        <v>31</v>
      </c>
      <c r="E27" s="29" t="s">
        <v>32</v>
      </c>
      <c r="F27" s="29"/>
      <c r="G27" s="29"/>
      <c r="H27" s="29" t="s">
        <v>33</v>
      </c>
      <c r="I27" s="29"/>
      <c r="J27" s="29"/>
      <c r="K27" s="29" t="s">
        <v>34</v>
      </c>
      <c r="L27" s="29"/>
      <c r="M27" s="29"/>
      <c r="N27" s="29" t="s">
        <v>35</v>
      </c>
      <c r="O27" s="29"/>
      <c r="P27" s="29" t="s">
        <v>36</v>
      </c>
      <c r="Q27" s="29"/>
      <c r="R27" s="29" t="s">
        <v>37</v>
      </c>
      <c r="S27" s="29"/>
      <c r="T27" s="29"/>
      <c r="U27" s="29" t="s">
        <v>38</v>
      </c>
      <c r="AA27" s="69" t="s">
        <v>67</v>
      </c>
      <c r="AB27" t="s">
        <v>68</v>
      </c>
    </row>
    <row r="28" ht="14.25" hidden="1" spans="1:28">
      <c r="A28" s="31"/>
      <c r="B28" s="29"/>
      <c r="C28" s="29">
        <v>10</v>
      </c>
      <c r="D28" s="29" t="s">
        <v>39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>
        <v>10</v>
      </c>
      <c r="S28" s="29"/>
      <c r="T28" s="29"/>
      <c r="U28" s="29"/>
      <c r="AA28" s="69" t="s">
        <v>69</v>
      </c>
      <c r="AB28" t="s">
        <v>70</v>
      </c>
    </row>
    <row r="29" hidden="1" spans="1:28">
      <c r="A29" s="31"/>
      <c r="B29" s="29"/>
      <c r="C29" s="29">
        <v>1</v>
      </c>
      <c r="D29" s="29" t="s">
        <v>40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>
        <v>1</v>
      </c>
      <c r="S29" s="29"/>
      <c r="T29" s="29"/>
      <c r="U29" s="29"/>
      <c r="AA29" t="s">
        <v>71</v>
      </c>
      <c r="AB29" t="s">
        <v>72</v>
      </c>
    </row>
    <row r="30" hidden="1" spans="1:21">
      <c r="A30" s="31"/>
      <c r="B30" s="30" t="s">
        <v>41</v>
      </c>
      <c r="C30" s="29" t="s">
        <v>30</v>
      </c>
      <c r="D30" s="29" t="s">
        <v>42</v>
      </c>
      <c r="E30" s="29" t="s">
        <v>43</v>
      </c>
      <c r="F30" s="29" t="s">
        <v>44</v>
      </c>
      <c r="G30" s="29"/>
      <c r="H30" s="29" t="s">
        <v>45</v>
      </c>
      <c r="I30" s="29"/>
      <c r="J30" s="29" t="s">
        <v>32</v>
      </c>
      <c r="K30" s="29" t="s">
        <v>33</v>
      </c>
      <c r="L30" s="29"/>
      <c r="M30" s="29" t="s">
        <v>34</v>
      </c>
      <c r="N30" s="29" t="s">
        <v>35</v>
      </c>
      <c r="O30" s="29" t="s">
        <v>36</v>
      </c>
      <c r="P30" s="29" t="s">
        <v>37</v>
      </c>
      <c r="Q30" s="29" t="s">
        <v>38</v>
      </c>
      <c r="R30" s="29" t="s">
        <v>46</v>
      </c>
      <c r="S30" s="29"/>
      <c r="T30" s="29" t="s">
        <v>47</v>
      </c>
      <c r="U30" s="29" t="s">
        <v>48</v>
      </c>
    </row>
    <row r="31" hidden="1" spans="1:21">
      <c r="A31" s="31"/>
      <c r="B31" s="31"/>
      <c r="C31" s="29">
        <v>226</v>
      </c>
      <c r="D31" s="29" t="s">
        <v>39</v>
      </c>
      <c r="E31" s="29"/>
      <c r="F31" s="29"/>
      <c r="G31" s="29"/>
      <c r="H31" s="29"/>
      <c r="I31" s="29"/>
      <c r="J31" s="29">
        <v>2</v>
      </c>
      <c r="K31" s="29">
        <v>10</v>
      </c>
      <c r="L31" s="29"/>
      <c r="M31" s="29">
        <v>19</v>
      </c>
      <c r="N31" s="29">
        <v>19</v>
      </c>
      <c r="O31" s="29">
        <v>31</v>
      </c>
      <c r="P31" s="29">
        <v>42</v>
      </c>
      <c r="Q31" s="29">
        <v>31</v>
      </c>
      <c r="R31" s="29">
        <v>36</v>
      </c>
      <c r="S31" s="29"/>
      <c r="T31" s="29">
        <v>36</v>
      </c>
      <c r="U31" s="29"/>
    </row>
    <row r="32" hidden="1" spans="1:21">
      <c r="A32" s="31"/>
      <c r="B32" s="31"/>
      <c r="C32" s="29">
        <v>191</v>
      </c>
      <c r="D32" s="29" t="s">
        <v>40</v>
      </c>
      <c r="E32" s="29"/>
      <c r="F32" s="29"/>
      <c r="G32" s="29"/>
      <c r="H32" s="29"/>
      <c r="I32" s="29"/>
      <c r="J32" s="29"/>
      <c r="K32" s="29">
        <v>5</v>
      </c>
      <c r="L32" s="29"/>
      <c r="M32" s="29">
        <v>16</v>
      </c>
      <c r="N32" s="29">
        <v>13</v>
      </c>
      <c r="O32" s="29">
        <v>30</v>
      </c>
      <c r="P32" s="29">
        <v>22</v>
      </c>
      <c r="Q32" s="29">
        <v>25</v>
      </c>
      <c r="R32" s="29">
        <v>36</v>
      </c>
      <c r="S32" s="29"/>
      <c r="T32" s="29">
        <v>36</v>
      </c>
      <c r="U32" s="29"/>
    </row>
    <row r="33" hidden="1" spans="1:21">
      <c r="A33" s="31"/>
      <c r="B33" s="32"/>
      <c r="C33" s="29">
        <v>5</v>
      </c>
      <c r="D33" s="29" t="s">
        <v>49</v>
      </c>
      <c r="E33" s="29"/>
      <c r="F33" s="33"/>
      <c r="G33" s="34"/>
      <c r="H33" s="33"/>
      <c r="I33" s="34"/>
      <c r="J33" s="29"/>
      <c r="K33" s="33"/>
      <c r="L33" s="34"/>
      <c r="M33" s="29"/>
      <c r="N33" s="29">
        <v>2</v>
      </c>
      <c r="O33" s="29"/>
      <c r="P33" s="29"/>
      <c r="Q33" s="29"/>
      <c r="R33" s="33"/>
      <c r="S33" s="34"/>
      <c r="T33" s="29"/>
      <c r="U33" s="29"/>
    </row>
    <row r="34" hidden="1" spans="1:21">
      <c r="A34" s="31"/>
      <c r="B34" s="29" t="s">
        <v>50</v>
      </c>
      <c r="C34" s="29" t="s">
        <v>30</v>
      </c>
      <c r="D34" s="29" t="s">
        <v>42</v>
      </c>
      <c r="E34" s="29" t="s">
        <v>43</v>
      </c>
      <c r="F34" s="29"/>
      <c r="G34" s="29"/>
      <c r="H34" s="29" t="s">
        <v>44</v>
      </c>
      <c r="I34" s="29"/>
      <c r="J34" s="29"/>
      <c r="K34" s="29" t="s">
        <v>45</v>
      </c>
      <c r="L34" s="29"/>
      <c r="M34" s="29"/>
      <c r="N34" s="29" t="s">
        <v>32</v>
      </c>
      <c r="O34" s="29"/>
      <c r="P34" s="29" t="s">
        <v>33</v>
      </c>
      <c r="Q34" s="29"/>
      <c r="R34" s="29"/>
      <c r="S34" s="29" t="s">
        <v>51</v>
      </c>
      <c r="T34" s="29"/>
      <c r="U34" s="29"/>
    </row>
    <row r="35" hidden="1" spans="1:21">
      <c r="A35" s="31"/>
      <c r="B35" s="29"/>
      <c r="C35" s="29">
        <v>2</v>
      </c>
      <c r="D35" s="29" t="s">
        <v>39</v>
      </c>
      <c r="E35" s="29"/>
      <c r="F35" s="29"/>
      <c r="G35" s="29"/>
      <c r="H35" s="29"/>
      <c r="I35" s="29"/>
      <c r="J35" s="29"/>
      <c r="K35" s="29">
        <v>1</v>
      </c>
      <c r="L35" s="29"/>
      <c r="M35" s="29"/>
      <c r="N35" s="29"/>
      <c r="O35" s="29"/>
      <c r="P35" s="29">
        <v>1</v>
      </c>
      <c r="Q35" s="29"/>
      <c r="R35" s="29"/>
      <c r="S35" s="29"/>
      <c r="T35" s="29"/>
      <c r="U35" s="29"/>
    </row>
    <row r="36" hidden="1" spans="1:21">
      <c r="A36" s="32"/>
      <c r="B36" s="29"/>
      <c r="C36" s="29">
        <v>2</v>
      </c>
      <c r="D36" s="29" t="s">
        <v>40</v>
      </c>
      <c r="E36" s="29"/>
      <c r="F36" s="29"/>
      <c r="G36" s="29"/>
      <c r="H36" s="29">
        <v>1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>
        <v>1</v>
      </c>
      <c r="T36" s="29"/>
      <c r="U36" s="29"/>
    </row>
    <row r="37" hidden="1" spans="1:21">
      <c r="A37" s="29" t="s">
        <v>52</v>
      </c>
      <c r="B37" s="29" t="s">
        <v>53</v>
      </c>
      <c r="C37" s="29"/>
      <c r="D37" s="29"/>
      <c r="E37" s="29"/>
      <c r="F37" s="29"/>
      <c r="G37" s="29"/>
      <c r="H37" s="29"/>
      <c r="I37" s="29"/>
      <c r="J37" s="29"/>
      <c r="K37" s="29" t="s">
        <v>54</v>
      </c>
      <c r="L37" s="29"/>
      <c r="M37" s="29"/>
      <c r="N37" s="29"/>
      <c r="O37" s="29"/>
      <c r="P37" s="29"/>
      <c r="Q37" s="29"/>
      <c r="R37" s="29"/>
      <c r="S37" s="29"/>
      <c r="T37" s="29"/>
      <c r="U37" s="29"/>
    </row>
    <row r="38" hidden="1" spans="1:21">
      <c r="A38" s="29"/>
      <c r="B38" s="35"/>
      <c r="C38" s="36"/>
      <c r="D38" s="36"/>
      <c r="E38" s="36"/>
      <c r="F38" s="36"/>
      <c r="G38" s="36"/>
      <c r="H38" s="36"/>
      <c r="I38" s="36"/>
      <c r="J38" s="49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</row>
    <row r="39" hidden="1" spans="1:21">
      <c r="A39" s="29"/>
      <c r="B39" s="37"/>
      <c r="C39" s="38"/>
      <c r="D39" s="38"/>
      <c r="E39" s="38"/>
      <c r="F39" s="38"/>
      <c r="G39" s="38"/>
      <c r="H39" s="38"/>
      <c r="I39" s="38"/>
      <c r="J39" s="50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</row>
    <row r="40" hidden="1" spans="1:21">
      <c r="A40" s="29"/>
      <c r="B40" s="37"/>
      <c r="C40" s="38"/>
      <c r="D40" s="38"/>
      <c r="E40" s="38"/>
      <c r="F40" s="38"/>
      <c r="G40" s="38"/>
      <c r="H40" s="38"/>
      <c r="I40" s="38"/>
      <c r="J40" s="50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</row>
    <row r="41" hidden="1" spans="1:21">
      <c r="A41" s="29"/>
      <c r="B41" s="37"/>
      <c r="C41" s="38"/>
      <c r="D41" s="38"/>
      <c r="E41" s="38"/>
      <c r="F41" s="38"/>
      <c r="G41" s="38"/>
      <c r="H41" s="38"/>
      <c r="I41" s="38"/>
      <c r="J41" s="50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</row>
    <row r="42" hidden="1" spans="1:21">
      <c r="A42" s="29"/>
      <c r="B42" s="37"/>
      <c r="C42" s="38"/>
      <c r="D42" s="38"/>
      <c r="E42" s="38"/>
      <c r="F42" s="38"/>
      <c r="G42" s="38"/>
      <c r="H42" s="38"/>
      <c r="I42" s="38"/>
      <c r="J42" s="50"/>
      <c r="K42" s="31" t="s">
        <v>55</v>
      </c>
      <c r="L42" s="31"/>
      <c r="M42" s="31"/>
      <c r="N42" s="31"/>
      <c r="O42" s="31"/>
      <c r="P42" s="31"/>
      <c r="Q42" s="31"/>
      <c r="R42" s="31"/>
      <c r="S42" s="31"/>
      <c r="T42" s="31"/>
      <c r="U42" s="31"/>
    </row>
    <row r="43" hidden="1" spans="1:21">
      <c r="A43" s="29"/>
      <c r="B43" s="32" t="s">
        <v>56</v>
      </c>
      <c r="C43" s="32"/>
      <c r="D43" s="32"/>
      <c r="E43" s="32"/>
      <c r="F43" s="32"/>
      <c r="G43" s="32"/>
      <c r="H43" s="32"/>
      <c r="I43" s="32"/>
      <c r="J43" s="32"/>
      <c r="K43" s="32" t="s">
        <v>57</v>
      </c>
      <c r="L43" s="32"/>
      <c r="M43" s="32"/>
      <c r="N43" s="32"/>
      <c r="O43" s="32"/>
      <c r="P43" s="32"/>
      <c r="Q43" s="32"/>
      <c r="R43" s="32"/>
      <c r="S43" s="32"/>
      <c r="T43" s="32"/>
      <c r="U43" s="32"/>
    </row>
    <row r="44" ht="45.5" hidden="1" customHeight="1" spans="1:21">
      <c r="A44" s="29" t="s">
        <v>58</v>
      </c>
      <c r="B44" s="39" t="s">
        <v>59</v>
      </c>
      <c r="C44" s="40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49"/>
    </row>
    <row r="45" s="2" customFormat="1" ht="12" spans="1:23">
      <c r="A45" s="41"/>
      <c r="B45" s="41"/>
      <c r="C45" s="41"/>
      <c r="D45" s="42" t="s">
        <v>73</v>
      </c>
      <c r="E45" s="43"/>
      <c r="F45" s="43"/>
      <c r="G45" s="43"/>
      <c r="H45" s="43"/>
      <c r="I45" s="43"/>
      <c r="J45" s="47" t="s">
        <v>44</v>
      </c>
      <c r="K45" s="43" t="s">
        <v>33</v>
      </c>
      <c r="L45" s="43"/>
      <c r="M45" s="43" t="s">
        <v>34</v>
      </c>
      <c r="N45" s="43" t="s">
        <v>35</v>
      </c>
      <c r="O45" s="43" t="s">
        <v>36</v>
      </c>
      <c r="P45" s="43" t="s">
        <v>37</v>
      </c>
      <c r="Q45" s="43" t="s">
        <v>38</v>
      </c>
      <c r="R45" s="43" t="s">
        <v>46</v>
      </c>
      <c r="S45" s="43"/>
      <c r="T45" s="43" t="s">
        <v>47</v>
      </c>
      <c r="U45" s="43" t="s">
        <v>48</v>
      </c>
      <c r="V45" s="47" t="s">
        <v>30</v>
      </c>
      <c r="W45" s="60"/>
    </row>
    <row r="46" s="2" customFormat="1" ht="12" spans="4:23">
      <c r="D46" s="44" t="s">
        <v>74</v>
      </c>
      <c r="E46" s="45"/>
      <c r="F46" s="45"/>
      <c r="G46" s="45"/>
      <c r="H46" s="45"/>
      <c r="I46" s="45"/>
      <c r="J46" s="53"/>
      <c r="K46" s="53">
        <v>2</v>
      </c>
      <c r="L46" s="53"/>
      <c r="M46" s="53"/>
      <c r="N46" s="53">
        <v>1</v>
      </c>
      <c r="O46" s="53"/>
      <c r="P46" s="53"/>
      <c r="Q46" s="53"/>
      <c r="R46" s="53"/>
      <c r="S46" s="53"/>
      <c r="T46" s="53"/>
      <c r="U46" s="53"/>
      <c r="V46" s="53">
        <f t="shared" ref="V46:V53" si="0">SUM(E46:U46)</f>
        <v>3</v>
      </c>
      <c r="W46" s="60"/>
    </row>
    <row r="47" s="2" customFormat="1" ht="12" spans="4:23">
      <c r="D47" s="44" t="s">
        <v>75</v>
      </c>
      <c r="E47" s="45"/>
      <c r="F47" s="45"/>
      <c r="G47" s="45"/>
      <c r="H47" s="45"/>
      <c r="I47" s="45"/>
      <c r="J47" s="53"/>
      <c r="K47" s="53"/>
      <c r="L47" s="53"/>
      <c r="M47" s="53"/>
      <c r="N47" s="53">
        <v>3</v>
      </c>
      <c r="O47" s="53"/>
      <c r="P47" s="53"/>
      <c r="Q47" s="53"/>
      <c r="R47" s="53"/>
      <c r="S47" s="53"/>
      <c r="T47" s="53"/>
      <c r="U47" s="53"/>
      <c r="V47" s="53">
        <f t="shared" si="0"/>
        <v>3</v>
      </c>
      <c r="W47" s="60"/>
    </row>
    <row r="48" s="2" customFormat="1" ht="12" spans="4:23">
      <c r="D48" s="44" t="s">
        <v>76</v>
      </c>
      <c r="E48" s="45"/>
      <c r="F48" s="45"/>
      <c r="G48" s="45"/>
      <c r="H48" s="45"/>
      <c r="I48" s="45"/>
      <c r="J48" s="53"/>
      <c r="K48" s="53"/>
      <c r="L48" s="53"/>
      <c r="M48" s="53">
        <v>2</v>
      </c>
      <c r="N48" s="53"/>
      <c r="O48" s="53"/>
      <c r="P48" s="53"/>
      <c r="Q48" s="53"/>
      <c r="R48" s="53">
        <v>1</v>
      </c>
      <c r="S48" s="53"/>
      <c r="T48" s="53">
        <v>4</v>
      </c>
      <c r="U48" s="53"/>
      <c r="V48" s="53">
        <f t="shared" si="0"/>
        <v>7</v>
      </c>
      <c r="W48" s="61" t="s">
        <v>77</v>
      </c>
    </row>
    <row r="49" s="2" customFormat="1" spans="4:23">
      <c r="D49" s="44" t="s">
        <v>78</v>
      </c>
      <c r="E49" s="45"/>
      <c r="F49" s="45"/>
      <c r="G49" s="45"/>
      <c r="H49" s="45"/>
      <c r="I49" s="45"/>
      <c r="J49" s="53"/>
      <c r="K49" s="53"/>
      <c r="L49" s="53"/>
      <c r="M49" s="53">
        <v>1</v>
      </c>
      <c r="N49" s="53"/>
      <c r="O49" s="53"/>
      <c r="P49" s="53"/>
      <c r="Q49" s="53"/>
      <c r="R49" s="53"/>
      <c r="S49" s="53"/>
      <c r="T49" s="53">
        <v>2</v>
      </c>
      <c r="U49" s="53"/>
      <c r="V49" s="53">
        <f t="shared" si="0"/>
        <v>3</v>
      </c>
      <c r="W49" s="62" t="s">
        <v>79</v>
      </c>
    </row>
    <row r="50" s="2" customFormat="1" ht="12" spans="4:23">
      <c r="D50" s="46" t="s">
        <v>80</v>
      </c>
      <c r="E50" s="47"/>
      <c r="F50" s="47"/>
      <c r="G50" s="47"/>
      <c r="H50" s="47"/>
      <c r="I50" s="47"/>
      <c r="J50" s="47"/>
      <c r="K50" s="47">
        <f>K9-K46-K48-K49</f>
        <v>5</v>
      </c>
      <c r="L50" s="47"/>
      <c r="M50" s="47">
        <f t="shared" ref="M50:R50" si="1">M9-M46-M48-M49</f>
        <v>15</v>
      </c>
      <c r="N50" s="47">
        <f t="shared" si="1"/>
        <v>13</v>
      </c>
      <c r="O50" s="47">
        <f t="shared" si="1"/>
        <v>30</v>
      </c>
      <c r="P50" s="47">
        <f t="shared" si="1"/>
        <v>22</v>
      </c>
      <c r="Q50" s="47">
        <f t="shared" si="1"/>
        <v>25</v>
      </c>
      <c r="R50" s="47">
        <f t="shared" si="1"/>
        <v>35</v>
      </c>
      <c r="S50" s="47"/>
      <c r="T50" s="47">
        <f>T9-T46-T48-T49</f>
        <v>33</v>
      </c>
      <c r="U50" s="47">
        <f>U9-U46-U48-U49</f>
        <v>0</v>
      </c>
      <c r="V50" s="47">
        <f t="shared" si="0"/>
        <v>178</v>
      </c>
      <c r="W50" s="60"/>
    </row>
    <row r="51" s="2" customFormat="1" ht="12" spans="4:23">
      <c r="D51" s="46" t="s">
        <v>81</v>
      </c>
      <c r="E51" s="47"/>
      <c r="F51" s="47"/>
      <c r="G51" s="47"/>
      <c r="H51" s="47"/>
      <c r="I51" s="47"/>
      <c r="J51" s="47"/>
      <c r="K51" s="46"/>
      <c r="L51" s="54"/>
      <c r="M51" s="47"/>
      <c r="N51" s="47">
        <f>N10-N47</f>
        <v>2</v>
      </c>
      <c r="O51" s="47"/>
      <c r="P51" s="47"/>
      <c r="Q51" s="47"/>
      <c r="R51" s="46"/>
      <c r="S51" s="54"/>
      <c r="T51" s="47"/>
      <c r="U51" s="47"/>
      <c r="V51" s="47">
        <f t="shared" si="0"/>
        <v>2</v>
      </c>
      <c r="W51" s="60"/>
    </row>
    <row r="52" s="2" customFormat="1" ht="12" spans="4:23">
      <c r="D52" s="44" t="s">
        <v>82</v>
      </c>
      <c r="E52" s="45"/>
      <c r="F52" s="45"/>
      <c r="G52" s="45"/>
      <c r="H52" s="45"/>
      <c r="I52" s="45"/>
      <c r="J52" s="53"/>
      <c r="K52" s="53"/>
      <c r="L52" s="53"/>
      <c r="M52" s="53"/>
      <c r="N52" s="53">
        <v>1</v>
      </c>
      <c r="O52" s="53"/>
      <c r="P52" s="53"/>
      <c r="Q52" s="53"/>
      <c r="R52" s="53"/>
      <c r="S52" s="53"/>
      <c r="T52" s="53"/>
      <c r="U52" s="53"/>
      <c r="V52" s="53">
        <f t="shared" si="0"/>
        <v>1</v>
      </c>
      <c r="W52" s="61" t="s">
        <v>83</v>
      </c>
    </row>
    <row r="53" s="2" customFormat="1" ht="12" spans="4:24">
      <c r="D53" s="44" t="s">
        <v>84</v>
      </c>
      <c r="E53" s="45"/>
      <c r="F53" s="45"/>
      <c r="G53" s="45"/>
      <c r="H53" s="45"/>
      <c r="I53" s="45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>
        <f t="shared" si="0"/>
        <v>0</v>
      </c>
      <c r="W53" s="60"/>
      <c r="X53" s="63"/>
    </row>
    <row r="54" s="2" customFormat="1" ht="12" spans="4:24">
      <c r="D54" s="46" t="s">
        <v>85</v>
      </c>
      <c r="E54" s="47"/>
      <c r="F54" s="47"/>
      <c r="G54" s="47"/>
      <c r="H54" s="47"/>
      <c r="I54" s="47"/>
      <c r="J54" s="47"/>
      <c r="K54" s="47">
        <f>K50+K52+K53</f>
        <v>5</v>
      </c>
      <c r="L54" s="47"/>
      <c r="M54" s="47">
        <f>M50+M52+M53</f>
        <v>15</v>
      </c>
      <c r="N54" s="47">
        <f t="shared" ref="N54:U54" si="2">N50+N52+N53</f>
        <v>14</v>
      </c>
      <c r="O54" s="47">
        <f t="shared" si="2"/>
        <v>30</v>
      </c>
      <c r="P54" s="47">
        <f t="shared" si="2"/>
        <v>22</v>
      </c>
      <c r="Q54" s="47">
        <f t="shared" si="2"/>
        <v>25</v>
      </c>
      <c r="R54" s="47">
        <f t="shared" si="2"/>
        <v>35</v>
      </c>
      <c r="S54" s="47"/>
      <c r="T54" s="47">
        <f t="shared" si="2"/>
        <v>33</v>
      </c>
      <c r="U54" s="47">
        <f t="shared" si="2"/>
        <v>0</v>
      </c>
      <c r="V54" s="47">
        <f t="shared" ref="V54:V66" si="3">SUM(E54:U54)</f>
        <v>179</v>
      </c>
      <c r="W54" s="60"/>
      <c r="X54" s="63"/>
    </row>
    <row r="55" s="2" customFormat="1" ht="12" spans="4:24">
      <c r="D55" s="46" t="s">
        <v>86</v>
      </c>
      <c r="E55" s="47"/>
      <c r="F55" s="47"/>
      <c r="G55" s="47"/>
      <c r="H55" s="47"/>
      <c r="I55" s="47"/>
      <c r="J55" s="47"/>
      <c r="K55" s="46"/>
      <c r="L55" s="54"/>
      <c r="M55" s="47"/>
      <c r="N55" s="47">
        <f>N51</f>
        <v>2</v>
      </c>
      <c r="O55" s="47"/>
      <c r="P55" s="47"/>
      <c r="Q55" s="47"/>
      <c r="R55" s="46"/>
      <c r="S55" s="54"/>
      <c r="T55" s="47"/>
      <c r="U55" s="47"/>
      <c r="V55" s="47">
        <f t="shared" si="3"/>
        <v>2</v>
      </c>
      <c r="W55" s="60"/>
      <c r="X55" s="63"/>
    </row>
    <row r="56" s="2" customFormat="1" ht="12" spans="4:23">
      <c r="D56" s="44" t="s">
        <v>87</v>
      </c>
      <c r="E56" s="45"/>
      <c r="F56" s="45"/>
      <c r="G56" s="45"/>
      <c r="H56" s="45"/>
      <c r="I56" s="45"/>
      <c r="J56" s="53"/>
      <c r="K56" s="53"/>
      <c r="L56" s="53"/>
      <c r="M56" s="53"/>
      <c r="N56" s="53"/>
      <c r="O56" s="53"/>
      <c r="P56" s="53"/>
      <c r="Q56" s="53"/>
      <c r="R56" s="44"/>
      <c r="S56" s="64"/>
      <c r="T56" s="55">
        <v>5</v>
      </c>
      <c r="U56" s="53"/>
      <c r="V56" s="53"/>
      <c r="W56" s="63"/>
    </row>
    <row r="57" s="2" customFormat="1" ht="12" spans="4:22">
      <c r="D57" s="44" t="s">
        <v>88</v>
      </c>
      <c r="E57" s="45"/>
      <c r="F57" s="45"/>
      <c r="G57" s="45"/>
      <c r="H57" s="45"/>
      <c r="I57" s="45"/>
      <c r="J57" s="53"/>
      <c r="K57" s="55"/>
      <c r="L57" s="55"/>
      <c r="M57" s="55">
        <v>5</v>
      </c>
      <c r="N57" s="55">
        <v>8</v>
      </c>
      <c r="O57" s="56">
        <v>2</v>
      </c>
      <c r="P57" s="55">
        <v>3</v>
      </c>
      <c r="Q57" s="55">
        <v>6</v>
      </c>
      <c r="R57" s="55"/>
      <c r="S57" s="55"/>
      <c r="T57" s="55">
        <v>12</v>
      </c>
      <c r="U57" s="53"/>
      <c r="V57" s="53">
        <f t="shared" si="3"/>
        <v>36</v>
      </c>
    </row>
    <row r="58" s="2" customFormat="1" ht="12" spans="4:23">
      <c r="D58" s="44" t="s">
        <v>89</v>
      </c>
      <c r="E58" s="45"/>
      <c r="F58" s="45"/>
      <c r="G58" s="45"/>
      <c r="H58" s="45"/>
      <c r="I58" s="45"/>
      <c r="J58" s="53"/>
      <c r="K58" s="55">
        <v>5</v>
      </c>
      <c r="L58" s="55"/>
      <c r="M58" s="55">
        <v>8</v>
      </c>
      <c r="N58" s="55"/>
      <c r="O58" s="55">
        <v>3</v>
      </c>
      <c r="P58" s="55">
        <v>6</v>
      </c>
      <c r="Q58" s="55"/>
      <c r="R58" s="55">
        <v>12</v>
      </c>
      <c r="S58" s="55"/>
      <c r="T58" s="55"/>
      <c r="U58" s="53"/>
      <c r="V58" s="53">
        <f t="shared" si="3"/>
        <v>34</v>
      </c>
      <c r="W58" s="63" t="s">
        <v>90</v>
      </c>
    </row>
    <row r="59" s="2" customFormat="1" ht="12" spans="4:22">
      <c r="D59" s="44" t="s">
        <v>91</v>
      </c>
      <c r="E59" s="45"/>
      <c r="F59" s="45"/>
      <c r="G59" s="45"/>
      <c r="H59" s="45"/>
      <c r="I59" s="45"/>
      <c r="J59" s="53"/>
      <c r="K59" s="57"/>
      <c r="L59" s="57"/>
      <c r="M59" s="57"/>
      <c r="N59" s="57"/>
      <c r="O59" s="57">
        <v>3</v>
      </c>
      <c r="P59" s="57"/>
      <c r="Q59" s="57"/>
      <c r="R59" s="57">
        <v>11</v>
      </c>
      <c r="S59" s="57"/>
      <c r="T59" s="57"/>
      <c r="U59" s="53"/>
      <c r="V59" s="53">
        <f t="shared" si="3"/>
        <v>14</v>
      </c>
    </row>
    <row r="60" s="2" customFormat="1" ht="12" spans="4:23">
      <c r="D60" s="44" t="s">
        <v>92</v>
      </c>
      <c r="E60" s="45"/>
      <c r="F60" s="45"/>
      <c r="G60" s="45"/>
      <c r="H60" s="45"/>
      <c r="I60" s="45"/>
      <c r="J60" s="53"/>
      <c r="K60" s="57"/>
      <c r="L60" s="57"/>
      <c r="M60" s="57"/>
      <c r="N60" s="57">
        <v>3</v>
      </c>
      <c r="O60" s="57"/>
      <c r="P60" s="57"/>
      <c r="Q60" s="57">
        <v>11</v>
      </c>
      <c r="R60" s="65"/>
      <c r="S60" s="66"/>
      <c r="T60" s="57"/>
      <c r="U60" s="53"/>
      <c r="V60" s="53">
        <f t="shared" si="3"/>
        <v>14</v>
      </c>
      <c r="W60" s="63" t="s">
        <v>93</v>
      </c>
    </row>
    <row r="61" s="2" customFormat="1" spans="4:24">
      <c r="D61" s="44" t="s">
        <v>49</v>
      </c>
      <c r="E61" s="45"/>
      <c r="F61" s="45"/>
      <c r="G61" s="45"/>
      <c r="H61" s="45"/>
      <c r="I61" s="45"/>
      <c r="J61" s="53"/>
      <c r="K61" s="57"/>
      <c r="L61" s="57"/>
      <c r="M61" s="53"/>
      <c r="N61" s="58">
        <v>2</v>
      </c>
      <c r="O61" s="53"/>
      <c r="P61" s="53"/>
      <c r="Q61" s="53"/>
      <c r="R61" s="53"/>
      <c r="S61" s="53"/>
      <c r="T61" s="53"/>
      <c r="U61" s="53"/>
      <c r="V61" s="53">
        <f t="shared" si="3"/>
        <v>2</v>
      </c>
      <c r="W61" s="67">
        <v>199</v>
      </c>
      <c r="X61" s="67" t="s">
        <v>94</v>
      </c>
    </row>
    <row r="62" s="2" customFormat="1" spans="4:24">
      <c r="D62" s="46" t="s">
        <v>95</v>
      </c>
      <c r="E62" s="47"/>
      <c r="F62" s="47"/>
      <c r="G62" s="47"/>
      <c r="H62" s="47"/>
      <c r="I62" s="47"/>
      <c r="J62" s="47"/>
      <c r="K62" s="47">
        <f>K54+K56-K57+K58-K59+K60</f>
        <v>10</v>
      </c>
      <c r="L62" s="47"/>
      <c r="M62" s="47">
        <f t="shared" ref="L62:R62" si="4">M54+M56-M57+M58-M59+M60</f>
        <v>18</v>
      </c>
      <c r="N62" s="47">
        <f t="shared" si="4"/>
        <v>9</v>
      </c>
      <c r="O62" s="47">
        <f t="shared" si="4"/>
        <v>28</v>
      </c>
      <c r="P62" s="47">
        <f t="shared" si="4"/>
        <v>25</v>
      </c>
      <c r="Q62" s="47">
        <f t="shared" si="4"/>
        <v>30</v>
      </c>
      <c r="R62" s="47">
        <f t="shared" si="4"/>
        <v>36</v>
      </c>
      <c r="S62" s="47"/>
      <c r="T62" s="47">
        <f>T54+T56-T57+T58-T59+T60</f>
        <v>26</v>
      </c>
      <c r="U62" s="68">
        <f>U54+U56-U57+U58-U59+U60</f>
        <v>0</v>
      </c>
      <c r="V62" s="47">
        <f t="shared" si="3"/>
        <v>182</v>
      </c>
      <c r="W62" s="67">
        <v>1</v>
      </c>
      <c r="X62" s="67" t="s">
        <v>82</v>
      </c>
    </row>
    <row r="63" s="2" customFormat="1" spans="4:24">
      <c r="D63" s="46" t="s">
        <v>49</v>
      </c>
      <c r="E63" s="47"/>
      <c r="F63" s="47"/>
      <c r="G63" s="47"/>
      <c r="H63" s="47"/>
      <c r="I63" s="47"/>
      <c r="J63" s="47"/>
      <c r="K63" s="47"/>
      <c r="L63" s="47"/>
      <c r="M63" s="47"/>
      <c r="N63" s="47">
        <f>N55+N61</f>
        <v>4</v>
      </c>
      <c r="O63" s="47"/>
      <c r="P63" s="47"/>
      <c r="Q63" s="47"/>
      <c r="R63" s="47"/>
      <c r="S63" s="47"/>
      <c r="T63" s="47"/>
      <c r="U63" s="47"/>
      <c r="V63" s="47">
        <f t="shared" si="3"/>
        <v>4</v>
      </c>
      <c r="W63" s="67">
        <v>5</v>
      </c>
      <c r="X63" s="67" t="s">
        <v>87</v>
      </c>
    </row>
    <row r="64" s="2" customFormat="1" spans="4:24">
      <c r="D64" s="48" t="s">
        <v>29</v>
      </c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>
        <v>1</v>
      </c>
      <c r="Q64" s="47"/>
      <c r="R64" s="47"/>
      <c r="S64" s="47"/>
      <c r="T64" s="47"/>
      <c r="U64" s="47"/>
      <c r="V64" s="47">
        <f t="shared" si="3"/>
        <v>1</v>
      </c>
      <c r="W64" s="67">
        <v>6</v>
      </c>
      <c r="X64" s="67" t="s">
        <v>74</v>
      </c>
    </row>
    <row r="65" s="2" customFormat="1" spans="4:24">
      <c r="D65" s="48" t="s">
        <v>96</v>
      </c>
      <c r="E65" s="47"/>
      <c r="F65" s="47"/>
      <c r="G65" s="47"/>
      <c r="H65" s="47"/>
      <c r="I65" s="47"/>
      <c r="J65" s="47">
        <v>1</v>
      </c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>
        <v>1</v>
      </c>
      <c r="V65" s="47">
        <f t="shared" si="3"/>
        <v>2</v>
      </c>
      <c r="W65" s="67">
        <v>7</v>
      </c>
      <c r="X65" s="67" t="s">
        <v>76</v>
      </c>
    </row>
    <row r="66" s="25" customFormat="1" spans="4:24">
      <c r="D66" s="48" t="s">
        <v>97</v>
      </c>
      <c r="E66" s="47"/>
      <c r="F66" s="47"/>
      <c r="G66" s="47"/>
      <c r="H66" s="47"/>
      <c r="I66" s="47"/>
      <c r="J66" s="67"/>
      <c r="K66" s="47">
        <f>K8-K62</f>
        <v>0</v>
      </c>
      <c r="L66" s="47"/>
      <c r="M66" s="47">
        <f t="shared" ref="M66:R66" si="5">M8-M62</f>
        <v>1</v>
      </c>
      <c r="N66" s="47">
        <f t="shared" si="5"/>
        <v>10</v>
      </c>
      <c r="O66" s="47">
        <f t="shared" si="5"/>
        <v>3</v>
      </c>
      <c r="P66" s="47">
        <f t="shared" si="5"/>
        <v>17</v>
      </c>
      <c r="Q66" s="47">
        <f t="shared" si="5"/>
        <v>1</v>
      </c>
      <c r="R66" s="46">
        <f t="shared" si="5"/>
        <v>0</v>
      </c>
      <c r="S66" s="54"/>
      <c r="T66" s="47">
        <f>T8-T62</f>
        <v>10</v>
      </c>
      <c r="U66" s="47"/>
      <c r="V66" s="47">
        <f t="shared" si="3"/>
        <v>42</v>
      </c>
      <c r="W66" s="67">
        <v>3</v>
      </c>
      <c r="X66" s="67" t="s">
        <v>78</v>
      </c>
    </row>
    <row r="67" s="25" customFormat="1" spans="4:24">
      <c r="D67" s="71" t="s">
        <v>98</v>
      </c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80"/>
      <c r="V67" s="81">
        <f>V62+V63+V64+V65</f>
        <v>189</v>
      </c>
      <c r="W67" s="67">
        <f>W61+W62+W63-W64-W65-W66</f>
        <v>189</v>
      </c>
      <c r="X67" s="67" t="s">
        <v>99</v>
      </c>
    </row>
    <row r="68" s="25" customFormat="1" spans="5:19">
      <c r="E68" s="73"/>
      <c r="F68" s="73"/>
      <c r="G68" s="73"/>
      <c r="H68" s="73"/>
      <c r="I68" s="73"/>
      <c r="R68" s="2"/>
      <c r="S68" s="2"/>
    </row>
    <row r="69" s="25" customFormat="1" spans="11:20">
      <c r="K69" s="74" t="s">
        <v>100</v>
      </c>
      <c r="L69" s="74"/>
      <c r="M69" s="74" t="s">
        <v>101</v>
      </c>
      <c r="N69" s="75" t="s">
        <v>102</v>
      </c>
      <c r="O69" s="74" t="s">
        <v>103</v>
      </c>
      <c r="P69" s="25" t="s">
        <v>104</v>
      </c>
      <c r="Q69" s="25" t="s">
        <v>105</v>
      </c>
      <c r="R69" s="2" t="s">
        <v>106</v>
      </c>
      <c r="S69" s="2"/>
      <c r="T69" s="25" t="s">
        <v>107</v>
      </c>
    </row>
    <row r="70" s="25" customFormat="1" spans="11:19">
      <c r="K70" s="87" t="s">
        <v>108</v>
      </c>
      <c r="L70" s="76"/>
      <c r="M70" s="88" t="s">
        <v>109</v>
      </c>
      <c r="N70" s="25" t="s">
        <v>110</v>
      </c>
      <c r="O70" s="89" t="s">
        <v>111</v>
      </c>
      <c r="P70" s="89" t="s">
        <v>112</v>
      </c>
      <c r="Q70" s="89" t="s">
        <v>113</v>
      </c>
      <c r="R70" s="89" t="s">
        <v>114</v>
      </c>
      <c r="S70" s="4"/>
    </row>
    <row r="71" s="25" customFormat="1" spans="11:20">
      <c r="K71" s="87" t="s">
        <v>115</v>
      </c>
      <c r="L71" s="76"/>
      <c r="M71" s="88" t="s">
        <v>116</v>
      </c>
      <c r="N71" s="25" t="s">
        <v>117</v>
      </c>
      <c r="O71" s="89" t="s">
        <v>118</v>
      </c>
      <c r="P71" s="89" t="s">
        <v>119</v>
      </c>
      <c r="Q71" s="89" t="s">
        <v>120</v>
      </c>
      <c r="R71" s="89" t="s">
        <v>121</v>
      </c>
      <c r="S71" s="4"/>
      <c r="T71" s="77"/>
    </row>
    <row r="72" s="25" customFormat="1" spans="11:20">
      <c r="K72" s="87" t="s">
        <v>122</v>
      </c>
      <c r="L72" s="76"/>
      <c r="M72" s="88" t="s">
        <v>123</v>
      </c>
      <c r="N72" s="25" t="s">
        <v>124</v>
      </c>
      <c r="O72" s="89" t="s">
        <v>125</v>
      </c>
      <c r="P72" s="89" t="s">
        <v>126</v>
      </c>
      <c r="Q72" s="89" t="s">
        <v>127</v>
      </c>
      <c r="R72" s="89" t="s">
        <v>128</v>
      </c>
      <c r="S72" s="4"/>
      <c r="T72" s="76"/>
    </row>
    <row r="73" s="25" customFormat="1" spans="11:20">
      <c r="K73" s="87" t="s">
        <v>129</v>
      </c>
      <c r="L73" s="76"/>
      <c r="M73" s="88" t="s">
        <v>130</v>
      </c>
      <c r="P73" s="89" t="s">
        <v>131</v>
      </c>
      <c r="Q73" s="89" t="s">
        <v>132</v>
      </c>
      <c r="R73" s="4" t="s">
        <v>133</v>
      </c>
      <c r="S73" s="4"/>
      <c r="T73" s="76"/>
    </row>
    <row r="74" s="25" customFormat="1" spans="11:20">
      <c r="K74" s="87" t="s">
        <v>134</v>
      </c>
      <c r="L74" s="76"/>
      <c r="M74" s="88" t="s">
        <v>135</v>
      </c>
      <c r="N74" s="77" t="s">
        <v>136</v>
      </c>
      <c r="P74" s="89" t="s">
        <v>137</v>
      </c>
      <c r="Q74" s="89" t="s">
        <v>138</v>
      </c>
      <c r="R74" s="4" t="s">
        <v>139</v>
      </c>
      <c r="S74" s="4"/>
      <c r="T74" s="76"/>
    </row>
    <row r="75" s="25" customFormat="1" spans="11:20">
      <c r="K75" s="87" t="s">
        <v>140</v>
      </c>
      <c r="L75" s="76"/>
      <c r="M75" s="88" t="s">
        <v>141</v>
      </c>
      <c r="N75" s="78" t="s">
        <v>142</v>
      </c>
      <c r="P75" s="89" t="s">
        <v>143</v>
      </c>
      <c r="Q75" s="89" t="s">
        <v>144</v>
      </c>
      <c r="R75" s="4" t="s">
        <v>145</v>
      </c>
      <c r="S75" s="4"/>
      <c r="T75" s="76"/>
    </row>
    <row r="76" s="25" customFormat="1" spans="11:19">
      <c r="K76" s="87" t="s">
        <v>146</v>
      </c>
      <c r="L76" s="76"/>
      <c r="M76" s="88" t="s">
        <v>147</v>
      </c>
      <c r="N76" s="78" t="s">
        <v>148</v>
      </c>
      <c r="Q76" s="89" t="s">
        <v>149</v>
      </c>
      <c r="R76" s="4" t="s">
        <v>150</v>
      </c>
      <c r="S76" s="4"/>
    </row>
    <row r="77" s="25" customFormat="1" spans="13:19">
      <c r="M77" s="3" t="s">
        <v>151</v>
      </c>
      <c r="N77" s="79"/>
      <c r="Q77" s="89" t="s">
        <v>152</v>
      </c>
      <c r="R77" s="4" t="s">
        <v>153</v>
      </c>
      <c r="S77" s="4"/>
    </row>
    <row r="78" s="25" customFormat="1" spans="13:19">
      <c r="M78" s="74"/>
      <c r="Q78" s="89" t="s">
        <v>154</v>
      </c>
      <c r="R78" s="4" t="s">
        <v>155</v>
      </c>
      <c r="S78" s="4"/>
    </row>
    <row r="79" s="25" customFormat="1" spans="17:19">
      <c r="Q79" s="89" t="s">
        <v>156</v>
      </c>
      <c r="R79" s="4" t="s">
        <v>157</v>
      </c>
      <c r="S79" s="4"/>
    </row>
    <row r="80" s="25" customFormat="1" spans="17:19">
      <c r="Q80" s="89" t="s">
        <v>158</v>
      </c>
      <c r="R80" s="4" t="s">
        <v>159</v>
      </c>
      <c r="S80" s="4"/>
    </row>
    <row r="81" s="25" customFormat="1" spans="17:19">
      <c r="Q81" s="4"/>
      <c r="R81" s="4" t="s">
        <v>160</v>
      </c>
      <c r="S81" s="4"/>
    </row>
    <row r="82" spans="17:19">
      <c r="Q82" s="4"/>
      <c r="R82" s="4" t="s">
        <v>161</v>
      </c>
      <c r="S82" s="4"/>
    </row>
    <row r="83" spans="17:19">
      <c r="Q83" s="4"/>
      <c r="R83" s="4" t="s">
        <v>162</v>
      </c>
      <c r="S83" s="4"/>
    </row>
    <row r="84" spans="17:19">
      <c r="Q84" s="4"/>
      <c r="R84" s="4" t="s">
        <v>163</v>
      </c>
      <c r="S84" s="4"/>
    </row>
    <row r="85" spans="17:19">
      <c r="Q85" s="4"/>
      <c r="R85" s="4" t="s">
        <v>164</v>
      </c>
      <c r="S85" s="4"/>
    </row>
    <row r="86" spans="17:19">
      <c r="Q86" s="4"/>
      <c r="R86" s="4" t="s">
        <v>165</v>
      </c>
      <c r="S86" s="4"/>
    </row>
    <row r="87" spans="17:19">
      <c r="Q87" s="4"/>
      <c r="R87" s="4" t="s">
        <v>166</v>
      </c>
      <c r="S87" s="4"/>
    </row>
    <row r="88" spans="17:19">
      <c r="Q88" s="4"/>
      <c r="R88" s="4" t="s">
        <v>167</v>
      </c>
      <c r="S88" s="4"/>
    </row>
    <row r="89" spans="17:19">
      <c r="Q89" s="4"/>
      <c r="R89" s="4" t="s">
        <v>168</v>
      </c>
      <c r="S89" s="4"/>
    </row>
    <row r="90" spans="17:19">
      <c r="Q90" s="4"/>
      <c r="R90" s="4" t="s">
        <v>169</v>
      </c>
      <c r="S90" s="4"/>
    </row>
    <row r="91" spans="18:19">
      <c r="R91" s="4" t="s">
        <v>170</v>
      </c>
      <c r="S91" s="4"/>
    </row>
    <row r="92" spans="18:19">
      <c r="R92" s="89" t="s">
        <v>171</v>
      </c>
      <c r="S92" s="4"/>
    </row>
    <row r="93" spans="18:19">
      <c r="R93" s="4" t="s">
        <v>172</v>
      </c>
      <c r="S93" s="4"/>
    </row>
    <row r="94" spans="18:19">
      <c r="R94" s="4" t="s">
        <v>173</v>
      </c>
      <c r="S94" s="4"/>
    </row>
    <row r="95" spans="18:19">
      <c r="R95" s="4" t="s">
        <v>174</v>
      </c>
      <c r="S95" s="4"/>
    </row>
    <row r="96" spans="11:19">
      <c r="K96" s="2" t="s">
        <v>175</v>
      </c>
      <c r="L96" s="2"/>
      <c r="M96" s="2" t="s">
        <v>176</v>
      </c>
      <c r="N96" s="2"/>
      <c r="O96" s="2" t="s">
        <v>177</v>
      </c>
      <c r="P96" s="2" t="s">
        <v>178</v>
      </c>
      <c r="Q96" s="2" t="s">
        <v>179</v>
      </c>
      <c r="R96" s="82" t="s">
        <v>180</v>
      </c>
      <c r="S96" s="82"/>
    </row>
  </sheetData>
  <mergeCells count="240">
    <mergeCell ref="A1:U1"/>
    <mergeCell ref="A2:U2"/>
    <mergeCell ref="B3:D3"/>
    <mergeCell ref="E3:F3"/>
    <mergeCell ref="G3:H3"/>
    <mergeCell ref="I3:K3"/>
    <mergeCell ref="L3:M3"/>
    <mergeCell ref="N3:O3"/>
    <mergeCell ref="P3:Q3"/>
    <mergeCell ref="R3:T3"/>
    <mergeCell ref="E4:G4"/>
    <mergeCell ref="H4:J4"/>
    <mergeCell ref="K4:M4"/>
    <mergeCell ref="N4:O4"/>
    <mergeCell ref="P4:Q4"/>
    <mergeCell ref="R4:T4"/>
    <mergeCell ref="E5:G5"/>
    <mergeCell ref="H5:J5"/>
    <mergeCell ref="K5:M5"/>
    <mergeCell ref="N5:O5"/>
    <mergeCell ref="P5:Q5"/>
    <mergeCell ref="R5:T5"/>
    <mergeCell ref="E6:G6"/>
    <mergeCell ref="H6:J6"/>
    <mergeCell ref="K6:M6"/>
    <mergeCell ref="N6:O6"/>
    <mergeCell ref="P6:Q6"/>
    <mergeCell ref="R6:T6"/>
    <mergeCell ref="F7:G7"/>
    <mergeCell ref="H7:I7"/>
    <mergeCell ref="K7:L7"/>
    <mergeCell ref="R7:S7"/>
    <mergeCell ref="F8:G8"/>
    <mergeCell ref="H8:I8"/>
    <mergeCell ref="K8:L8"/>
    <mergeCell ref="R8:S8"/>
    <mergeCell ref="F9:G9"/>
    <mergeCell ref="H9:I9"/>
    <mergeCell ref="K9:L9"/>
    <mergeCell ref="R9:S9"/>
    <mergeCell ref="F10:G10"/>
    <mergeCell ref="H10:I10"/>
    <mergeCell ref="K10:L10"/>
    <mergeCell ref="R10:S10"/>
    <mergeCell ref="E11:G11"/>
    <mergeCell ref="H11:J11"/>
    <mergeCell ref="K11:M11"/>
    <mergeCell ref="N11:O11"/>
    <mergeCell ref="P11:R11"/>
    <mergeCell ref="S11:U11"/>
    <mergeCell ref="E12:G12"/>
    <mergeCell ref="H12:J12"/>
    <mergeCell ref="K12:M12"/>
    <mergeCell ref="N12:O12"/>
    <mergeCell ref="P12:R12"/>
    <mergeCell ref="S12:U12"/>
    <mergeCell ref="E13:G13"/>
    <mergeCell ref="H13:J13"/>
    <mergeCell ref="K13:M13"/>
    <mergeCell ref="N13:O13"/>
    <mergeCell ref="P13:R13"/>
    <mergeCell ref="S13:U13"/>
    <mergeCell ref="B14:J14"/>
    <mergeCell ref="K14:U14"/>
    <mergeCell ref="K15:U15"/>
    <mergeCell ref="K16:U16"/>
    <mergeCell ref="K17:U17"/>
    <mergeCell ref="K18:U18"/>
    <mergeCell ref="K19:U19"/>
    <mergeCell ref="B20:J20"/>
    <mergeCell ref="K20:U20"/>
    <mergeCell ref="B21:U21"/>
    <mergeCell ref="A24:U24"/>
    <mergeCell ref="A25:U25"/>
    <mergeCell ref="B26:D26"/>
    <mergeCell ref="E26:F26"/>
    <mergeCell ref="G26:H26"/>
    <mergeCell ref="I26:K26"/>
    <mergeCell ref="L26:M26"/>
    <mergeCell ref="N26:O26"/>
    <mergeCell ref="P26:Q26"/>
    <mergeCell ref="R26:T26"/>
    <mergeCell ref="E27:G27"/>
    <mergeCell ref="H27:J27"/>
    <mergeCell ref="K27:M27"/>
    <mergeCell ref="N27:O27"/>
    <mergeCell ref="P27:Q27"/>
    <mergeCell ref="R27:T27"/>
    <mergeCell ref="E28:G28"/>
    <mergeCell ref="H28:J28"/>
    <mergeCell ref="K28:M28"/>
    <mergeCell ref="N28:O28"/>
    <mergeCell ref="P28:Q28"/>
    <mergeCell ref="R28:T28"/>
    <mergeCell ref="E29:G29"/>
    <mergeCell ref="H29:J29"/>
    <mergeCell ref="K29:M29"/>
    <mergeCell ref="N29:O29"/>
    <mergeCell ref="P29:Q29"/>
    <mergeCell ref="R29:T29"/>
    <mergeCell ref="F30:G30"/>
    <mergeCell ref="H30:I30"/>
    <mergeCell ref="K30:L30"/>
    <mergeCell ref="R30:S30"/>
    <mergeCell ref="F31:G31"/>
    <mergeCell ref="H31:I31"/>
    <mergeCell ref="K31:L31"/>
    <mergeCell ref="R31:S31"/>
    <mergeCell ref="F32:G32"/>
    <mergeCell ref="H32:I32"/>
    <mergeCell ref="K32:L32"/>
    <mergeCell ref="R32:S32"/>
    <mergeCell ref="F33:G33"/>
    <mergeCell ref="H33:I33"/>
    <mergeCell ref="K33:L33"/>
    <mergeCell ref="R33:S33"/>
    <mergeCell ref="E34:G34"/>
    <mergeCell ref="H34:J34"/>
    <mergeCell ref="K34:M34"/>
    <mergeCell ref="N34:O34"/>
    <mergeCell ref="P34:R34"/>
    <mergeCell ref="S34:U34"/>
    <mergeCell ref="E35:G35"/>
    <mergeCell ref="H35:J35"/>
    <mergeCell ref="K35:M35"/>
    <mergeCell ref="N35:O35"/>
    <mergeCell ref="P35:R35"/>
    <mergeCell ref="S35:U35"/>
    <mergeCell ref="E36:G36"/>
    <mergeCell ref="H36:J36"/>
    <mergeCell ref="K36:M36"/>
    <mergeCell ref="N36:O36"/>
    <mergeCell ref="P36:R36"/>
    <mergeCell ref="S36:U36"/>
    <mergeCell ref="B37:J37"/>
    <mergeCell ref="K37:U37"/>
    <mergeCell ref="K38:U38"/>
    <mergeCell ref="K39:U39"/>
    <mergeCell ref="K40:U40"/>
    <mergeCell ref="K41:U41"/>
    <mergeCell ref="K42:U42"/>
    <mergeCell ref="B43:J43"/>
    <mergeCell ref="K43:U43"/>
    <mergeCell ref="B44:U44"/>
    <mergeCell ref="K45:L45"/>
    <mergeCell ref="R45:S45"/>
    <mergeCell ref="K46:L46"/>
    <mergeCell ref="R46:S46"/>
    <mergeCell ref="X46:Z46"/>
    <mergeCell ref="K47:L47"/>
    <mergeCell ref="R47:S47"/>
    <mergeCell ref="K48:L48"/>
    <mergeCell ref="R48:S48"/>
    <mergeCell ref="K49:L49"/>
    <mergeCell ref="R49:S49"/>
    <mergeCell ref="K50:L50"/>
    <mergeCell ref="R50:S50"/>
    <mergeCell ref="K51:L51"/>
    <mergeCell ref="R51:S51"/>
    <mergeCell ref="K52:L52"/>
    <mergeCell ref="R52:S52"/>
    <mergeCell ref="K53:L53"/>
    <mergeCell ref="R53:S53"/>
    <mergeCell ref="K54:L54"/>
    <mergeCell ref="R54:S54"/>
    <mergeCell ref="K55:L55"/>
    <mergeCell ref="R55:S55"/>
    <mergeCell ref="K56:L56"/>
    <mergeCell ref="R56:S56"/>
    <mergeCell ref="K57:L57"/>
    <mergeCell ref="R57:S57"/>
    <mergeCell ref="K58:L58"/>
    <mergeCell ref="R58:S58"/>
    <mergeCell ref="K59:L59"/>
    <mergeCell ref="R59:S59"/>
    <mergeCell ref="K60:L60"/>
    <mergeCell ref="R60:S60"/>
    <mergeCell ref="K61:L61"/>
    <mergeCell ref="R61:S61"/>
    <mergeCell ref="K62:L62"/>
    <mergeCell ref="R62:S62"/>
    <mergeCell ref="K63:L63"/>
    <mergeCell ref="R63:S63"/>
    <mergeCell ref="K64:L64"/>
    <mergeCell ref="R64:S64"/>
    <mergeCell ref="K65:L65"/>
    <mergeCell ref="R65:S65"/>
    <mergeCell ref="K66:L66"/>
    <mergeCell ref="R66:S66"/>
    <mergeCell ref="D67:U67"/>
    <mergeCell ref="R68:S68"/>
    <mergeCell ref="K69:L69"/>
    <mergeCell ref="R69:S69"/>
    <mergeCell ref="K70:L70"/>
    <mergeCell ref="R70:S70"/>
    <mergeCell ref="K71:L71"/>
    <mergeCell ref="R71:S71"/>
    <mergeCell ref="K72:L72"/>
    <mergeCell ref="R72:S72"/>
    <mergeCell ref="K73:L73"/>
    <mergeCell ref="R73:S73"/>
    <mergeCell ref="K74:L74"/>
    <mergeCell ref="R74:S74"/>
    <mergeCell ref="K75:L75"/>
    <mergeCell ref="R75:S75"/>
    <mergeCell ref="K76:L76"/>
    <mergeCell ref="R76:S76"/>
    <mergeCell ref="R77:S77"/>
    <mergeCell ref="R78:S78"/>
    <mergeCell ref="R79:S79"/>
    <mergeCell ref="R80:S80"/>
    <mergeCell ref="R81:S81"/>
    <mergeCell ref="R82:S82"/>
    <mergeCell ref="R83:S83"/>
    <mergeCell ref="R84:S84"/>
    <mergeCell ref="R85:S85"/>
    <mergeCell ref="R86:S86"/>
    <mergeCell ref="R87:S87"/>
    <mergeCell ref="R88:S88"/>
    <mergeCell ref="R89:S89"/>
    <mergeCell ref="R90:S90"/>
    <mergeCell ref="R91:S91"/>
    <mergeCell ref="R92:S92"/>
    <mergeCell ref="R93:S93"/>
    <mergeCell ref="R94:S94"/>
    <mergeCell ref="R95:S95"/>
    <mergeCell ref="K96:L96"/>
    <mergeCell ref="R96:S96"/>
    <mergeCell ref="A4:A13"/>
    <mergeCell ref="A14:A20"/>
    <mergeCell ref="A27:A36"/>
    <mergeCell ref="A37:A43"/>
    <mergeCell ref="B4:B6"/>
    <mergeCell ref="B7:B10"/>
    <mergeCell ref="B11:B13"/>
    <mergeCell ref="B27:B29"/>
    <mergeCell ref="B30:B33"/>
    <mergeCell ref="B34:B36"/>
    <mergeCell ref="B15:J19"/>
    <mergeCell ref="B38:J4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Q17"/>
  <sheetViews>
    <sheetView workbookViewId="0">
      <selection activeCell="B21" sqref="B21"/>
    </sheetView>
  </sheetViews>
  <sheetFormatPr defaultColWidth="9" defaultRowHeight="13.5"/>
  <cols>
    <col min="1" max="1" width="21.725" customWidth="1"/>
    <col min="2" max="2" width="9.26666666666667" customWidth="1"/>
    <col min="3" max="3" width="16.8166666666667" customWidth="1"/>
    <col min="5" max="6" width="15.8166666666667" customWidth="1"/>
    <col min="8" max="8" width="15.1833333333333" customWidth="1"/>
    <col min="13" max="13" width="17.2666666666667" customWidth="1"/>
    <col min="15" max="15" width="10.3666666666667" customWidth="1"/>
  </cols>
  <sheetData>
    <row r="1" s="2" customFormat="1" ht="24" spans="1:17">
      <c r="A1" s="9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1" t="s">
        <v>5</v>
      </c>
      <c r="G1" s="10" t="s">
        <v>6</v>
      </c>
      <c r="H1" s="11" t="s">
        <v>7</v>
      </c>
      <c r="I1" s="10" t="s">
        <v>8</v>
      </c>
      <c r="J1" s="10" t="s">
        <v>9</v>
      </c>
      <c r="K1" s="9" t="s">
        <v>10</v>
      </c>
      <c r="L1" s="2" t="s">
        <v>11</v>
      </c>
      <c r="M1" s="2" t="s">
        <v>12</v>
      </c>
      <c r="N1" s="2" t="s">
        <v>13</v>
      </c>
      <c r="O1" s="9" t="s">
        <v>14</v>
      </c>
      <c r="P1" s="9" t="s">
        <v>15</v>
      </c>
      <c r="Q1" s="9" t="s">
        <v>16</v>
      </c>
    </row>
    <row r="2" s="1" customFormat="1" ht="12" spans="1:17">
      <c r="A2" s="2" t="s">
        <v>181</v>
      </c>
      <c r="B2" s="3">
        <v>39</v>
      </c>
      <c r="C2" s="89" t="s">
        <v>182</v>
      </c>
      <c r="D2" s="88" t="s">
        <v>183</v>
      </c>
      <c r="E2" s="12">
        <v>26512</v>
      </c>
      <c r="F2" s="12">
        <v>33817</v>
      </c>
      <c r="G2" s="3" t="s">
        <v>184</v>
      </c>
      <c r="H2" s="13">
        <v>37622</v>
      </c>
      <c r="I2" s="6" t="s">
        <v>185</v>
      </c>
      <c r="J2" s="22" t="s">
        <v>186</v>
      </c>
      <c r="K2" s="2">
        <v>2021.04</v>
      </c>
      <c r="L2" s="2"/>
      <c r="M2" s="8"/>
      <c r="N2" s="8"/>
      <c r="O2" s="9" t="s">
        <v>76</v>
      </c>
      <c r="P2" s="2">
        <v>2025.01</v>
      </c>
      <c r="Q2" s="2" t="str">
        <f t="shared" ref="Q2:Q7" si="0">IF(AND(I2="高级教师",OR(J2="五级专技",J2="六级专技",J2="七级专技"),P2&lt;&gt;"",P2-K2&gt;2),"是","")&amp;IF(AND(I2="一级教师",OR(J2="八级专技",J2="九级专技",J2="十级专技"),P2&lt;&gt;"",P2-K2&gt;2),"是","")&amp;IF(AND(I2="二级教师",OR(J2="11级专技",J2="12级专技"),P2&lt;&gt;"",P2-K2&gt;2),"是","")&amp;IF(AND(I2="三级教师",OR(J2="13级专技"),P2&lt;&gt;"",P2-K2&gt;2),"是","")</f>
        <v>是</v>
      </c>
    </row>
    <row r="3" s="1" customFormat="1" ht="12" spans="1:17">
      <c r="A3" s="2" t="s">
        <v>187</v>
      </c>
      <c r="B3" s="3">
        <v>17</v>
      </c>
      <c r="C3" s="89" t="s">
        <v>188</v>
      </c>
      <c r="D3" s="88" t="s">
        <v>183</v>
      </c>
      <c r="E3" s="12">
        <v>26207</v>
      </c>
      <c r="F3" s="12">
        <v>33420</v>
      </c>
      <c r="G3" s="9" t="s">
        <v>184</v>
      </c>
      <c r="H3" s="14">
        <v>37773</v>
      </c>
      <c r="I3" s="6" t="s">
        <v>185</v>
      </c>
      <c r="J3" s="22" t="s">
        <v>186</v>
      </c>
      <c r="K3" s="2">
        <v>2024.04</v>
      </c>
      <c r="L3" s="2"/>
      <c r="M3" s="8"/>
      <c r="N3" s="8"/>
      <c r="O3" s="9" t="s">
        <v>76</v>
      </c>
      <c r="P3" s="2">
        <v>2025.01</v>
      </c>
      <c r="Q3" s="2" t="str">
        <f t="shared" si="0"/>
        <v/>
      </c>
    </row>
    <row r="4" s="1" customFormat="1" ht="12" spans="1:17">
      <c r="A4" s="2" t="s">
        <v>189</v>
      </c>
      <c r="B4" s="3">
        <v>91</v>
      </c>
      <c r="C4" s="89" t="s">
        <v>190</v>
      </c>
      <c r="D4" s="88" t="s">
        <v>183</v>
      </c>
      <c r="E4" s="12">
        <v>29556</v>
      </c>
      <c r="F4" s="12">
        <v>36008</v>
      </c>
      <c r="G4" s="9" t="s">
        <v>184</v>
      </c>
      <c r="H4" s="14">
        <v>39263</v>
      </c>
      <c r="I4" s="6" t="s">
        <v>191</v>
      </c>
      <c r="J4" s="6" t="s">
        <v>192</v>
      </c>
      <c r="K4" s="2" t="s">
        <v>193</v>
      </c>
      <c r="L4" s="2"/>
      <c r="M4" s="8">
        <v>43816</v>
      </c>
      <c r="N4" s="8" t="s">
        <v>194</v>
      </c>
      <c r="O4" s="9" t="s">
        <v>76</v>
      </c>
      <c r="P4" s="2">
        <v>2025.01</v>
      </c>
      <c r="Q4" s="2" t="str">
        <f t="shared" si="0"/>
        <v/>
      </c>
    </row>
    <row r="5" s="1" customFormat="1" ht="12" spans="1:17">
      <c r="A5" s="2" t="s">
        <v>195</v>
      </c>
      <c r="B5" s="3">
        <v>165</v>
      </c>
      <c r="C5" s="15" t="s">
        <v>196</v>
      </c>
      <c r="D5" s="16" t="s">
        <v>197</v>
      </c>
      <c r="E5" s="17">
        <v>34425</v>
      </c>
      <c r="F5" s="17">
        <v>43709</v>
      </c>
      <c r="G5" s="16" t="s">
        <v>184</v>
      </c>
      <c r="H5" s="18">
        <v>44013</v>
      </c>
      <c r="I5" s="16" t="s">
        <v>191</v>
      </c>
      <c r="J5" s="16" t="s">
        <v>198</v>
      </c>
      <c r="K5" s="2">
        <v>2021.04</v>
      </c>
      <c r="L5" s="2"/>
      <c r="M5" s="8"/>
      <c r="N5" s="8"/>
      <c r="O5" s="9" t="s">
        <v>76</v>
      </c>
      <c r="P5" s="2">
        <v>2025.01</v>
      </c>
      <c r="Q5" s="2" t="str">
        <f t="shared" si="0"/>
        <v>是</v>
      </c>
    </row>
    <row r="6" s="1" customFormat="1" ht="12" spans="1:17">
      <c r="A6" s="2" t="s">
        <v>199</v>
      </c>
      <c r="B6" s="3">
        <v>166</v>
      </c>
      <c r="C6" s="15" t="s">
        <v>200</v>
      </c>
      <c r="D6" s="16" t="s">
        <v>197</v>
      </c>
      <c r="E6" s="17">
        <v>32752</v>
      </c>
      <c r="F6" s="17">
        <v>43709</v>
      </c>
      <c r="G6" s="16" t="s">
        <v>184</v>
      </c>
      <c r="H6" s="18">
        <v>40360</v>
      </c>
      <c r="I6" s="16" t="s">
        <v>191</v>
      </c>
      <c r="J6" s="16" t="s">
        <v>198</v>
      </c>
      <c r="K6" s="2">
        <v>2021.04</v>
      </c>
      <c r="L6" s="2"/>
      <c r="M6" s="8"/>
      <c r="N6" s="8"/>
      <c r="O6" s="9" t="s">
        <v>76</v>
      </c>
      <c r="P6" s="2">
        <v>2025.01</v>
      </c>
      <c r="Q6" s="2" t="str">
        <f t="shared" si="0"/>
        <v>是</v>
      </c>
    </row>
    <row r="7" s="1" customFormat="1" ht="12" spans="1:17">
      <c r="A7" s="2" t="s">
        <v>201</v>
      </c>
      <c r="B7" s="3">
        <v>167</v>
      </c>
      <c r="C7" s="15" t="s">
        <v>202</v>
      </c>
      <c r="D7" s="16" t="s">
        <v>197</v>
      </c>
      <c r="E7" s="17">
        <v>35004</v>
      </c>
      <c r="F7" s="17">
        <v>43709</v>
      </c>
      <c r="G7" s="16" t="s">
        <v>184</v>
      </c>
      <c r="H7" s="18">
        <v>43282</v>
      </c>
      <c r="I7" s="16" t="s">
        <v>191</v>
      </c>
      <c r="J7" s="16" t="s">
        <v>198</v>
      </c>
      <c r="K7" s="2">
        <v>2022.02</v>
      </c>
      <c r="L7" s="2"/>
      <c r="M7" s="8"/>
      <c r="N7" s="8"/>
      <c r="O7" s="9" t="s">
        <v>76</v>
      </c>
      <c r="P7" s="2">
        <v>2025.01</v>
      </c>
      <c r="Q7" s="2" t="str">
        <f t="shared" si="0"/>
        <v>是</v>
      </c>
    </row>
    <row r="8" s="1" customFormat="1" ht="12" spans="1:17">
      <c r="A8" s="2" t="s">
        <v>203</v>
      </c>
      <c r="B8" s="3">
        <v>181</v>
      </c>
      <c r="C8" s="2" t="s">
        <v>204</v>
      </c>
      <c r="D8" s="19" t="s">
        <v>197</v>
      </c>
      <c r="E8" s="20">
        <v>34639</v>
      </c>
      <c r="F8" s="20">
        <v>2020.12</v>
      </c>
      <c r="G8" s="16" t="s">
        <v>184</v>
      </c>
      <c r="H8" s="21">
        <v>43252</v>
      </c>
      <c r="I8" s="19" t="s">
        <v>191</v>
      </c>
      <c r="J8" s="19" t="s">
        <v>198</v>
      </c>
      <c r="K8" s="2">
        <v>2022.02</v>
      </c>
      <c r="L8" s="2"/>
      <c r="M8" s="8"/>
      <c r="N8" s="8"/>
      <c r="O8" s="9" t="s">
        <v>76</v>
      </c>
      <c r="P8" s="2">
        <v>2025.01</v>
      </c>
      <c r="Q8" s="2" t="str">
        <f t="shared" ref="Q8:Q17" si="1">IF(AND(I8="高级教师",OR(J8="五级专技",J8="六级专技",J8="七级专技"),P8&lt;&gt;"",P8-K8&gt;2),"是","")&amp;IF(AND(I8="一级教师",OR(J8="八级专技",J8="九级专技",J8="十级专技"),P8&lt;&gt;"",P8-K8&gt;2),"是","")&amp;IF(AND(I8="二级教师",OR(J8="11级专技",J8="12级专技"),P8&lt;&gt;"",P8-K8&gt;2),"是","")&amp;IF(AND(I8="三级教师",OR(J8="13级专技"),P8&lt;&gt;"",P8-K8&gt;2),"是","")</f>
        <v>是</v>
      </c>
    </row>
    <row r="9" s="1" customFormat="1" ht="12" spans="1:17">
      <c r="A9" s="2" t="s">
        <v>205</v>
      </c>
      <c r="B9" s="3">
        <v>2</v>
      </c>
      <c r="C9" s="89" t="s">
        <v>206</v>
      </c>
      <c r="D9" s="88" t="s">
        <v>197</v>
      </c>
      <c r="E9" s="12">
        <v>23408</v>
      </c>
      <c r="F9" s="12">
        <v>29434</v>
      </c>
      <c r="G9" s="9" t="s">
        <v>184</v>
      </c>
      <c r="H9" s="14">
        <v>38718</v>
      </c>
      <c r="I9" s="6" t="s">
        <v>185</v>
      </c>
      <c r="J9" s="22" t="s">
        <v>207</v>
      </c>
      <c r="K9" s="2">
        <v>2024.04</v>
      </c>
      <c r="L9" s="23" t="s">
        <v>208</v>
      </c>
      <c r="M9" s="8"/>
      <c r="N9" s="8"/>
      <c r="O9" s="9" t="s">
        <v>74</v>
      </c>
      <c r="P9" s="2">
        <v>2025.01</v>
      </c>
      <c r="Q9" s="2" t="str">
        <f t="shared" si="1"/>
        <v/>
      </c>
    </row>
    <row r="10" s="1" customFormat="1" ht="12" spans="1:17">
      <c r="A10" s="2" t="s">
        <v>209</v>
      </c>
      <c r="B10" s="3">
        <v>6</v>
      </c>
      <c r="C10" s="89" t="s">
        <v>210</v>
      </c>
      <c r="D10" s="88" t="s">
        <v>183</v>
      </c>
      <c r="E10" s="12">
        <v>23377</v>
      </c>
      <c r="F10" s="12">
        <v>31594</v>
      </c>
      <c r="G10" s="9" t="s">
        <v>211</v>
      </c>
      <c r="H10" s="14">
        <v>31564</v>
      </c>
      <c r="I10" s="6" t="s">
        <v>185</v>
      </c>
      <c r="J10" s="6" t="s">
        <v>212</v>
      </c>
      <c r="K10" s="2" t="s">
        <v>213</v>
      </c>
      <c r="L10" s="2" t="s">
        <v>136</v>
      </c>
      <c r="M10" s="8"/>
      <c r="N10" s="8"/>
      <c r="O10" s="9" t="s">
        <v>74</v>
      </c>
      <c r="P10" s="2">
        <v>2025.01</v>
      </c>
      <c r="Q10" s="2" t="str">
        <f t="shared" si="1"/>
        <v>是</v>
      </c>
    </row>
    <row r="11" s="1" customFormat="1" ht="12" spans="1:17">
      <c r="A11" s="2" t="s">
        <v>214</v>
      </c>
      <c r="B11" s="3">
        <v>10</v>
      </c>
      <c r="C11" s="89" t="s">
        <v>215</v>
      </c>
      <c r="D11" s="88" t="s">
        <v>197</v>
      </c>
      <c r="E11" s="12">
        <v>25355</v>
      </c>
      <c r="F11" s="12">
        <v>32325</v>
      </c>
      <c r="G11" s="9" t="s">
        <v>211</v>
      </c>
      <c r="H11" s="14">
        <v>37622</v>
      </c>
      <c r="I11" s="6" t="s">
        <v>185</v>
      </c>
      <c r="J11" s="6" t="s">
        <v>212</v>
      </c>
      <c r="K11" s="2" t="s">
        <v>213</v>
      </c>
      <c r="L11" s="2" t="s">
        <v>136</v>
      </c>
      <c r="M11" s="8"/>
      <c r="N11" s="8"/>
      <c r="O11" s="9" t="s">
        <v>74</v>
      </c>
      <c r="P11" s="2">
        <v>2025.01</v>
      </c>
      <c r="Q11" s="2" t="str">
        <f t="shared" si="1"/>
        <v>是</v>
      </c>
    </row>
    <row r="12" s="1" customFormat="1" ht="12" spans="1:17">
      <c r="A12" s="2" t="s">
        <v>216</v>
      </c>
      <c r="B12" s="3">
        <v>18</v>
      </c>
      <c r="C12" s="89" t="s">
        <v>217</v>
      </c>
      <c r="D12" s="88" t="s">
        <v>197</v>
      </c>
      <c r="E12" s="12">
        <v>25355</v>
      </c>
      <c r="F12" s="12">
        <v>32721</v>
      </c>
      <c r="G12" s="9" t="s">
        <v>184</v>
      </c>
      <c r="H12" s="14">
        <v>38718</v>
      </c>
      <c r="I12" s="6" t="s">
        <v>185</v>
      </c>
      <c r="J12" s="22" t="s">
        <v>207</v>
      </c>
      <c r="K12" s="2">
        <v>2024.04</v>
      </c>
      <c r="L12" s="2"/>
      <c r="M12" s="8"/>
      <c r="N12" s="8"/>
      <c r="O12" s="9" t="s">
        <v>74</v>
      </c>
      <c r="P12" s="2">
        <v>2025.01</v>
      </c>
      <c r="Q12" s="2" t="str">
        <f t="shared" si="1"/>
        <v/>
      </c>
    </row>
    <row r="13" s="1" customFormat="1" ht="12" spans="1:17">
      <c r="A13" s="2" t="s">
        <v>218</v>
      </c>
      <c r="B13" s="3">
        <v>20</v>
      </c>
      <c r="C13" s="89" t="s">
        <v>219</v>
      </c>
      <c r="D13" s="88" t="s">
        <v>197</v>
      </c>
      <c r="E13" s="12">
        <v>24746</v>
      </c>
      <c r="F13" s="12">
        <v>33086</v>
      </c>
      <c r="G13" s="9" t="s">
        <v>211</v>
      </c>
      <c r="H13" s="14">
        <v>33054</v>
      </c>
      <c r="I13" s="6" t="s">
        <v>185</v>
      </c>
      <c r="J13" s="6" t="s">
        <v>212</v>
      </c>
      <c r="K13" s="2" t="s">
        <v>220</v>
      </c>
      <c r="L13" s="2" t="s">
        <v>136</v>
      </c>
      <c r="M13" s="8"/>
      <c r="N13" s="8"/>
      <c r="O13" s="9" t="s">
        <v>74</v>
      </c>
      <c r="P13" s="2">
        <v>2025.01</v>
      </c>
      <c r="Q13" s="2" t="str">
        <f t="shared" si="1"/>
        <v>是</v>
      </c>
    </row>
    <row r="14" s="1" customFormat="1" ht="12" spans="1:17">
      <c r="A14" s="2" t="s">
        <v>221</v>
      </c>
      <c r="B14" s="3">
        <v>37</v>
      </c>
      <c r="C14" s="89" t="s">
        <v>222</v>
      </c>
      <c r="D14" s="88" t="s">
        <v>197</v>
      </c>
      <c r="E14" s="12">
        <v>25204</v>
      </c>
      <c r="F14" s="12">
        <v>33817</v>
      </c>
      <c r="G14" s="9" t="s">
        <v>184</v>
      </c>
      <c r="H14" s="14">
        <v>38504</v>
      </c>
      <c r="I14" s="6" t="s">
        <v>185</v>
      </c>
      <c r="J14" s="6" t="s">
        <v>212</v>
      </c>
      <c r="K14" s="2" t="s">
        <v>213</v>
      </c>
      <c r="L14" s="2"/>
      <c r="M14" s="8"/>
      <c r="N14" s="8"/>
      <c r="O14" s="9" t="s">
        <v>74</v>
      </c>
      <c r="P14" s="2">
        <v>2025.01</v>
      </c>
      <c r="Q14" s="2" t="str">
        <f t="shared" si="1"/>
        <v>是</v>
      </c>
    </row>
    <row r="15" s="1" customFormat="1" ht="12" spans="1:17">
      <c r="A15" s="2" t="s">
        <v>223</v>
      </c>
      <c r="B15" s="3">
        <v>38</v>
      </c>
      <c r="C15" s="89" t="s">
        <v>224</v>
      </c>
      <c r="D15" s="88" t="s">
        <v>197</v>
      </c>
      <c r="E15" s="12">
        <v>26024</v>
      </c>
      <c r="F15" s="12">
        <v>33817</v>
      </c>
      <c r="G15" s="9" t="s">
        <v>184</v>
      </c>
      <c r="H15" s="14">
        <v>38504</v>
      </c>
      <c r="I15" s="6" t="s">
        <v>185</v>
      </c>
      <c r="J15" s="22" t="s">
        <v>186</v>
      </c>
      <c r="K15" s="2" t="s">
        <v>213</v>
      </c>
      <c r="L15" s="2"/>
      <c r="M15" s="8"/>
      <c r="N15" s="8"/>
      <c r="O15" s="9" t="s">
        <v>225</v>
      </c>
      <c r="P15" s="2">
        <v>2025.01</v>
      </c>
      <c r="Q15" s="2" t="str">
        <f t="shared" si="1"/>
        <v>是</v>
      </c>
    </row>
    <row r="16" s="1" customFormat="1" ht="12" spans="1:17">
      <c r="A16" s="2" t="s">
        <v>226</v>
      </c>
      <c r="B16" s="3">
        <v>150</v>
      </c>
      <c r="C16" s="89" t="s">
        <v>227</v>
      </c>
      <c r="D16" s="88" t="s">
        <v>197</v>
      </c>
      <c r="E16" s="12">
        <v>30993</v>
      </c>
      <c r="F16" s="12">
        <v>37987</v>
      </c>
      <c r="G16" s="9" t="s">
        <v>184</v>
      </c>
      <c r="H16" s="14">
        <v>40513</v>
      </c>
      <c r="I16" s="6" t="s">
        <v>191</v>
      </c>
      <c r="J16" s="6" t="s">
        <v>198</v>
      </c>
      <c r="K16" s="2" t="s">
        <v>228</v>
      </c>
      <c r="L16" s="2"/>
      <c r="M16" s="8"/>
      <c r="N16" s="8"/>
      <c r="O16" s="9" t="s">
        <v>225</v>
      </c>
      <c r="P16" s="2">
        <v>2025.01</v>
      </c>
      <c r="Q16" s="2" t="str">
        <f t="shared" si="1"/>
        <v>是</v>
      </c>
    </row>
    <row r="17" s="1" customFormat="1" ht="12" spans="1:17">
      <c r="A17" s="2" t="s">
        <v>229</v>
      </c>
      <c r="B17" s="3">
        <v>134</v>
      </c>
      <c r="C17" s="89" t="s">
        <v>230</v>
      </c>
      <c r="D17" s="88" t="s">
        <v>197</v>
      </c>
      <c r="E17" s="12">
        <v>29707</v>
      </c>
      <c r="F17" s="12">
        <v>36739</v>
      </c>
      <c r="G17" s="9" t="s">
        <v>184</v>
      </c>
      <c r="H17" s="14">
        <v>37622</v>
      </c>
      <c r="I17" s="6" t="s">
        <v>191</v>
      </c>
      <c r="J17" s="6" t="s">
        <v>198</v>
      </c>
      <c r="K17" s="2" t="s">
        <v>228</v>
      </c>
      <c r="L17" s="2"/>
      <c r="M17" s="8"/>
      <c r="N17" s="8"/>
      <c r="O17" s="9" t="s">
        <v>225</v>
      </c>
      <c r="P17" s="2">
        <v>2025.01</v>
      </c>
      <c r="Q17" s="2" t="str">
        <f t="shared" si="1"/>
        <v>是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Q4"/>
  <sheetViews>
    <sheetView workbookViewId="0">
      <selection activeCell="A1" sqref="$A1:$XFD4"/>
    </sheetView>
  </sheetViews>
  <sheetFormatPr defaultColWidth="8.725" defaultRowHeight="13.5" outlineLevelRow="3"/>
  <sheetData>
    <row r="1" s="1" customFormat="1" ht="12" spans="1:17">
      <c r="A1" s="2" t="s">
        <v>231</v>
      </c>
      <c r="B1" s="3">
        <v>184</v>
      </c>
      <c r="C1" s="89" t="s">
        <v>232</v>
      </c>
      <c r="D1" s="2" t="s">
        <v>197</v>
      </c>
      <c r="E1" s="5">
        <v>36557</v>
      </c>
      <c r="F1" s="5">
        <v>45536</v>
      </c>
      <c r="G1" s="6" t="s">
        <v>184</v>
      </c>
      <c r="H1" s="7">
        <v>44377</v>
      </c>
      <c r="I1" s="2" t="s">
        <v>233</v>
      </c>
      <c r="J1" s="6" t="s">
        <v>198</v>
      </c>
      <c r="K1" s="2">
        <v>2024.09</v>
      </c>
      <c r="L1" s="1" t="s">
        <v>234</v>
      </c>
      <c r="M1" s="8" t="s">
        <v>235</v>
      </c>
      <c r="N1" s="8"/>
      <c r="O1" s="2"/>
      <c r="P1" s="2">
        <v>2025.01</v>
      </c>
      <c r="Q1" s="2" t="str">
        <f>IF(AND(I1="高级教师",OR(J1="五级专技",J1="六级专技",J1="七级专技"),P1&lt;&gt;"",P1-K1&gt;2),"是","")&amp;IF(AND(I1="一级教师",OR(J1="八级专技",J1="九级专技",J1="十级专技"),P1&lt;&gt;"",P1-K1&gt;2),"是","")&amp;IF(AND(I1="二级教师",OR(J1="11级专技",J1="12级专技"),P1&lt;&gt;"",P1-K1&gt;2),"是","")&amp;IF(AND(I1="三级教师",OR(J1="13级专技"),P1&lt;&gt;"",P1-K1&gt;2),"是","")</f>
        <v/>
      </c>
    </row>
    <row r="2" s="1" customFormat="1" ht="12" spans="1:17">
      <c r="A2" s="2" t="s">
        <v>236</v>
      </c>
      <c r="B2" s="3">
        <v>185</v>
      </c>
      <c r="C2" s="89" t="s">
        <v>237</v>
      </c>
      <c r="D2" s="2" t="s">
        <v>183</v>
      </c>
      <c r="E2" s="8">
        <v>35425</v>
      </c>
      <c r="F2" s="8">
        <v>43344</v>
      </c>
      <c r="G2" s="6" t="s">
        <v>184</v>
      </c>
      <c r="H2" s="7">
        <v>44407</v>
      </c>
      <c r="I2" s="2" t="s">
        <v>233</v>
      </c>
      <c r="J2" s="6" t="s">
        <v>198</v>
      </c>
      <c r="K2" s="2">
        <v>2024.09</v>
      </c>
      <c r="L2" s="1" t="s">
        <v>234</v>
      </c>
      <c r="M2" s="8" t="s">
        <v>235</v>
      </c>
      <c r="P2" s="2">
        <v>2025.01</v>
      </c>
      <c r="Q2" s="2" t="str">
        <f>IF(AND(I2="高级教师",OR(J2="五级专技",J2="六级专技",J2="七级专技"),P2&lt;&gt;"",P2-K2&gt;2),"是","")&amp;IF(AND(I2="一级教师",OR(J2="八级专技",J2="九级专技",J2="十级专技"),P2&lt;&gt;"",P2-K2&gt;2),"是","")&amp;IF(AND(I2="二级教师",OR(J2="11级专技",J2="12级专技"),P2&lt;&gt;"",P2-K2&gt;2),"是","")&amp;IF(AND(I2="三级教师",OR(J2="13级专技"),P2&lt;&gt;"",P2-K2&gt;2),"是","")</f>
        <v/>
      </c>
    </row>
    <row r="3" s="1" customFormat="1" ht="12" spans="1:17">
      <c r="A3" s="2" t="s">
        <v>238</v>
      </c>
      <c r="B3" s="3">
        <v>186</v>
      </c>
      <c r="C3" s="89" t="s">
        <v>239</v>
      </c>
      <c r="D3" s="2" t="s">
        <v>197</v>
      </c>
      <c r="E3" s="8">
        <v>35844</v>
      </c>
      <c r="F3" s="8">
        <v>44013</v>
      </c>
      <c r="G3" s="6" t="s">
        <v>184</v>
      </c>
      <c r="H3" s="7">
        <v>44012</v>
      </c>
      <c r="I3" s="2" t="s">
        <v>233</v>
      </c>
      <c r="J3" s="6" t="s">
        <v>198</v>
      </c>
      <c r="K3" s="2">
        <v>2024.09</v>
      </c>
      <c r="L3" s="1" t="s">
        <v>234</v>
      </c>
      <c r="M3" s="8" t="s">
        <v>235</v>
      </c>
      <c r="P3" s="2">
        <v>2025.01</v>
      </c>
      <c r="Q3" s="2" t="str">
        <f>IF(AND(I3="高级教师",OR(J3="五级专技",J3="六级专技",J3="七级专技"),P3&lt;&gt;"",P3-K3&gt;2),"是","")&amp;IF(AND(I3="一级教师",OR(J3="八级专技",J3="九级专技",J3="十级专技"),P3&lt;&gt;"",P3-K3&gt;2),"是","")&amp;IF(AND(I3="二级教师",OR(J3="11级专技",J3="12级专技"),P3&lt;&gt;"",P3-K3&gt;2),"是","")&amp;IF(AND(I3="三级教师",OR(J3="13级专技"),P3&lt;&gt;"",P3-K3&gt;2),"是","")</f>
        <v/>
      </c>
    </row>
    <row r="4" s="1" customFormat="1" ht="12" spans="1:17">
      <c r="A4" s="2" t="s">
        <v>240</v>
      </c>
      <c r="B4" s="3">
        <v>187</v>
      </c>
      <c r="C4" s="89" t="s">
        <v>241</v>
      </c>
      <c r="D4" s="2" t="s">
        <v>197</v>
      </c>
      <c r="E4" s="8">
        <v>36965</v>
      </c>
      <c r="F4" s="8">
        <v>44044</v>
      </c>
      <c r="G4" s="6" t="s">
        <v>184</v>
      </c>
      <c r="H4" s="7">
        <v>45107</v>
      </c>
      <c r="I4" s="2" t="s">
        <v>233</v>
      </c>
      <c r="J4" s="6" t="s">
        <v>198</v>
      </c>
      <c r="K4" s="2">
        <v>2024.09</v>
      </c>
      <c r="L4" s="1" t="s">
        <v>234</v>
      </c>
      <c r="M4" s="8" t="s">
        <v>235</v>
      </c>
      <c r="P4" s="2">
        <v>2025.01</v>
      </c>
      <c r="Q4" s="2" t="str">
        <f>IF(AND(I4="高级教师",OR(J4="五级专技",J4="六级专技",J4="七级专技"),P4&lt;&gt;"",P4-K4&gt;2),"是","")&amp;IF(AND(I4="一级教师",OR(J4="八级专技",J4="九级专技",J4="十级专技"),P4&lt;&gt;"",P4-K4&gt;2),"是","")&amp;IF(AND(I4="二级教师",OR(J4="11级专技",J4="12级专技"),P4&lt;&gt;"",P4-K4&gt;2),"是","")&amp;IF(AND(I4="三级教师",OR(J4="13级专技"),P4&lt;&gt;"",P4-K4&gt;2),"是","")</f>
        <v/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中学表6</vt:lpstr>
      <vt:lpstr>中学表5</vt:lpstr>
      <vt:lpstr>减员</vt:lpstr>
      <vt:lpstr>2024入职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SHUBIN GAO</dc:creator>
  <cp:lastModifiedBy>圣诞老爹</cp:lastModifiedBy>
  <dcterms:created xsi:type="dcterms:W3CDTF">2024-12-16T01:49:00Z</dcterms:created>
  <dcterms:modified xsi:type="dcterms:W3CDTF">2025-02-23T07:53:15Z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3DFD6B937DE64AEC8ACB50669C8B0E0B_13</vt:lpwstr>
  </property>
  <property fmtid="{D5CDD505-2E9C-101B-9397-08002B2CF9AE}" pid="3" name="KSOProductBuildVer">
    <vt:lpwstr>2052-12.8.2.17149</vt:lpwstr>
  </property>
</Properties>
</file>